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Mini Project/Project/"/>
    </mc:Choice>
  </mc:AlternateContent>
  <xr:revisionPtr revIDLastSave="9" documentId="8_{23D74744-EF25-485C-B0ED-6F615C64D887}" xr6:coauthVersionLast="47" xr6:coauthVersionMax="47" xr10:uidLastSave="{1FFA660B-7608-4898-9C7F-9DFE56C877B2}"/>
  <bookViews>
    <workbookView xWindow="-108" yWindow="-108" windowWidth="23256" windowHeight="12456" activeTab="3" xr2:uid="{67520201-166D-4F41-A68F-6F524FABCAF0}"/>
  </bookViews>
  <sheets>
    <sheet name="Bank Customer Financial Analysi" sheetId="1" r:id="rId1"/>
    <sheet name="Process" sheetId="2" r:id="rId2"/>
    <sheet name="Cleaned" sheetId="3" r:id="rId3"/>
    <sheet name="Transformation" sheetId="6" r:id="rId4"/>
    <sheet name="Pivot Table" sheetId="5" r:id="rId5"/>
  </sheets>
  <definedNames>
    <definedName name="ExternalData_1" localSheetId="3" hidden="1">Transformation!$A$1:$L$501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B2" i="2" l="1"/>
  <c r="L2" i="2"/>
  <c r="J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8" i="2"/>
  <c r="L49" i="2"/>
  <c r="L50" i="2"/>
  <c r="L51" i="2"/>
  <c r="L52" i="2"/>
  <c r="L53" i="2"/>
  <c r="L54" i="2"/>
  <c r="L55" i="2"/>
  <c r="L56" i="2"/>
  <c r="L58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9" i="2"/>
  <c r="L80" i="2"/>
  <c r="L81" i="2"/>
  <c r="L82" i="2"/>
  <c r="L83" i="2"/>
  <c r="L84" i="2"/>
  <c r="L85" i="2"/>
  <c r="L86" i="2"/>
  <c r="L87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9" i="2"/>
  <c r="L110" i="2"/>
  <c r="L111" i="2"/>
  <c r="L112" i="2"/>
  <c r="L113" i="2"/>
  <c r="L114" i="2"/>
  <c r="L115" i="2"/>
  <c r="L116" i="2"/>
  <c r="L117" i="2"/>
  <c r="L118" i="2"/>
  <c r="L119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3" i="2"/>
  <c r="L174" i="2"/>
  <c r="L176" i="2"/>
  <c r="L177" i="2"/>
  <c r="L178" i="2"/>
  <c r="L179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6" i="2"/>
  <c r="L237" i="2"/>
  <c r="L238" i="2"/>
  <c r="L239" i="2"/>
  <c r="L240" i="2"/>
  <c r="L241" i="2"/>
  <c r="L242" i="2"/>
  <c r="L243" i="2"/>
  <c r="L244" i="2"/>
  <c r="L246" i="2"/>
  <c r="L247" i="2"/>
  <c r="L248" i="2"/>
  <c r="L249" i="2"/>
  <c r="L250" i="2"/>
  <c r="L251" i="2"/>
  <c r="L252" i="2"/>
  <c r="L253" i="2"/>
  <c r="L255" i="2"/>
  <c r="L256" i="2"/>
  <c r="L257" i="2"/>
  <c r="L258" i="2"/>
  <c r="L259" i="2"/>
  <c r="L262" i="2"/>
  <c r="L263" i="2"/>
  <c r="L264" i="2"/>
  <c r="L265" i="2"/>
  <c r="L266" i="2"/>
  <c r="L267" i="2"/>
  <c r="L268" i="2"/>
  <c r="L269" i="2"/>
  <c r="L270" i="2"/>
  <c r="L271" i="2"/>
  <c r="L273" i="2"/>
  <c r="L274" i="2"/>
  <c r="L275" i="2"/>
  <c r="L278" i="2"/>
  <c r="L279" i="2"/>
  <c r="L281" i="2"/>
  <c r="L282" i="2"/>
  <c r="L285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3" i="2"/>
  <c r="L314" i="2"/>
  <c r="L315" i="2"/>
  <c r="L316" i="2"/>
  <c r="L317" i="2"/>
  <c r="L318" i="2"/>
  <c r="L319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90" i="2"/>
  <c r="L392" i="2"/>
  <c r="L393" i="2"/>
  <c r="L394" i="2"/>
  <c r="L395" i="2"/>
  <c r="L396" i="2"/>
  <c r="L397" i="2"/>
  <c r="L399" i="2"/>
  <c r="L400" i="2"/>
  <c r="L401" i="2"/>
  <c r="L402" i="2"/>
  <c r="L403" i="2"/>
  <c r="L404" i="2"/>
  <c r="L405" i="2"/>
  <c r="L406" i="2"/>
  <c r="L407" i="2"/>
  <c r="L409" i="2"/>
  <c r="L410" i="2"/>
  <c r="L411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4" i="2"/>
  <c r="L445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F4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L120" i="2" s="1"/>
  <c r="F119" i="2"/>
  <c r="F118" i="2"/>
  <c r="F117" i="2"/>
  <c r="F116" i="2"/>
  <c r="F115" i="2"/>
  <c r="F114" i="2"/>
  <c r="F113" i="2"/>
  <c r="F112" i="2"/>
  <c r="F111" i="2"/>
  <c r="F110" i="2"/>
  <c r="F109" i="2"/>
  <c r="F108" i="2"/>
  <c r="L108" i="2" s="1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3" i="2"/>
  <c r="F2" i="2"/>
  <c r="L277" i="2" l="1"/>
  <c r="L254" i="2"/>
  <c r="L398" i="2"/>
  <c r="L446" i="2"/>
  <c r="L312" i="2"/>
  <c r="L172" i="2"/>
  <c r="L245" i="2"/>
  <c r="L389" i="2"/>
  <c r="L180" i="2"/>
  <c r="L480" i="2"/>
  <c r="L280" i="2"/>
  <c r="L78" i="2"/>
  <c r="L138" i="2"/>
  <c r="L139" i="2"/>
  <c r="L175" i="2"/>
  <c r="L235" i="2"/>
  <c r="L283" i="2"/>
  <c r="L391" i="2"/>
  <c r="L408" i="2"/>
  <c r="L121" i="2"/>
  <c r="L412" i="2"/>
  <c r="L32" i="2"/>
  <c r="L200" i="2"/>
  <c r="L260" i="2"/>
  <c r="L272" i="2"/>
  <c r="L284" i="2"/>
  <c r="L320" i="2"/>
  <c r="L88" i="2"/>
  <c r="L261" i="2"/>
  <c r="L57" i="2"/>
  <c r="L286" i="2"/>
  <c r="L276" i="2"/>
  <c r="L363" i="2"/>
  <c r="L47" i="2"/>
  <c r="L59" i="2"/>
  <c r="L155" i="2"/>
  <c r="L215" i="2"/>
  <c r="L287" i="2"/>
  <c r="L4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06C8C3-9D35-49E5-9F08-242048C606D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<sst xmlns="http://schemas.openxmlformats.org/spreadsheetml/2006/main" count="13935" uniqueCount="1605">
  <si>
    <t>Customer_ID</t>
  </si>
  <si>
    <t>First Name</t>
  </si>
  <si>
    <t>Last Name</t>
  </si>
  <si>
    <t>City</t>
  </si>
  <si>
    <t>Age</t>
  </si>
  <si>
    <t>Gender</t>
  </si>
  <si>
    <t>Account Balance</t>
  </si>
  <si>
    <t>Loan Amount</t>
  </si>
  <si>
    <t>Monthly Income</t>
  </si>
  <si>
    <t>Account Type</t>
  </si>
  <si>
    <t>Status</t>
  </si>
  <si>
    <t>CUST0001</t>
  </si>
  <si>
    <t>Ellen</t>
  </si>
  <si>
    <t>Young</t>
  </si>
  <si>
    <t>Trichy</t>
  </si>
  <si>
    <t>female</t>
  </si>
  <si>
    <t>Savings</t>
  </si>
  <si>
    <t>Active</t>
  </si>
  <si>
    <t>CUST0002</t>
  </si>
  <si>
    <t>Mark</t>
  </si>
  <si>
    <t>Watson</t>
  </si>
  <si>
    <t>Salem</t>
  </si>
  <si>
    <t>Female</t>
  </si>
  <si>
    <t>Current</t>
  </si>
  <si>
    <t>Inactive</t>
  </si>
  <si>
    <t>CUST0003</t>
  </si>
  <si>
    <t>Jennifer</t>
  </si>
  <si>
    <t>Daniels</t>
  </si>
  <si>
    <t>male</t>
  </si>
  <si>
    <t>CUST0004</t>
  </si>
  <si>
    <t>Karen</t>
  </si>
  <si>
    <t>Jordan</t>
  </si>
  <si>
    <t>M</t>
  </si>
  <si>
    <t>Salary</t>
  </si>
  <si>
    <t>CUST0005</t>
  </si>
  <si>
    <t>Ryan</t>
  </si>
  <si>
    <t>Ford</t>
  </si>
  <si>
    <t>F</t>
  </si>
  <si>
    <t>CUST0006</t>
  </si>
  <si>
    <t>Alexis</t>
  </si>
  <si>
    <t>Roy</t>
  </si>
  <si>
    <t>CUST0007</t>
  </si>
  <si>
    <t>Jonathon</t>
  </si>
  <si>
    <t>Wright</t>
  </si>
  <si>
    <t>Coimbatore</t>
  </si>
  <si>
    <t>CUST0008</t>
  </si>
  <si>
    <t>Kevin</t>
  </si>
  <si>
    <t>Daniel</t>
  </si>
  <si>
    <t>Chennai</t>
  </si>
  <si>
    <t>CUST0009</t>
  </si>
  <si>
    <t>Aaron</t>
  </si>
  <si>
    <t>Carpenter</t>
  </si>
  <si>
    <t>CUST0010</t>
  </si>
  <si>
    <t>Brittany</t>
  </si>
  <si>
    <t>Anderson</t>
  </si>
  <si>
    <t>CUST0011</t>
  </si>
  <si>
    <t>Jose</t>
  </si>
  <si>
    <t>Carson</t>
  </si>
  <si>
    <t>Madurai</t>
  </si>
  <si>
    <t>Male</t>
  </si>
  <si>
    <t>CUST0012</t>
  </si>
  <si>
    <t>Christopher</t>
  </si>
  <si>
    <t>Smith</t>
  </si>
  <si>
    <t>CUST0013</t>
  </si>
  <si>
    <t>Brent</t>
  </si>
  <si>
    <t>Robbins</t>
  </si>
  <si>
    <t>CUST0014</t>
  </si>
  <si>
    <t>Benjamin</t>
  </si>
  <si>
    <t>Alvarez</t>
  </si>
  <si>
    <t>FEMALE</t>
  </si>
  <si>
    <t>CUST0015</t>
  </si>
  <si>
    <t>Kenneth</t>
  </si>
  <si>
    <t>Barker</t>
  </si>
  <si>
    <t>CUST0016</t>
  </si>
  <si>
    <t>Nathan</t>
  </si>
  <si>
    <t>Humphrey</t>
  </si>
  <si>
    <t>CUST0017</t>
  </si>
  <si>
    <t>Rodney</t>
  </si>
  <si>
    <t>Mueller</t>
  </si>
  <si>
    <t>CUST0018</t>
  </si>
  <si>
    <t>John</t>
  </si>
  <si>
    <t>Williamson</t>
  </si>
  <si>
    <t>CUST0019</t>
  </si>
  <si>
    <t>Collins</t>
  </si>
  <si>
    <t>CUST0020</t>
  </si>
  <si>
    <t>Dustin</t>
  </si>
  <si>
    <t>Garcia</t>
  </si>
  <si>
    <t>CUST0021</t>
  </si>
  <si>
    <t>Raymond</t>
  </si>
  <si>
    <t>Brown</t>
  </si>
  <si>
    <t>MALE</t>
  </si>
  <si>
    <t>CUST0022</t>
  </si>
  <si>
    <t>Latoya</t>
  </si>
  <si>
    <t>White</t>
  </si>
  <si>
    <t>CUST0023</t>
  </si>
  <si>
    <t>Kelsey</t>
  </si>
  <si>
    <t>Castillo</t>
  </si>
  <si>
    <t>CUST0024</t>
  </si>
  <si>
    <t>Allison</t>
  </si>
  <si>
    <t>Wang</t>
  </si>
  <si>
    <t>CUST0025</t>
  </si>
  <si>
    <t>Theresa</t>
  </si>
  <si>
    <t>Crosby</t>
  </si>
  <si>
    <t>CUST0026</t>
  </si>
  <si>
    <t>Katelyn</t>
  </si>
  <si>
    <t>Ramirez</t>
  </si>
  <si>
    <t>CUST0027</t>
  </si>
  <si>
    <t>Marc</t>
  </si>
  <si>
    <t>Newman</t>
  </si>
  <si>
    <t>CUST0028</t>
  </si>
  <si>
    <t>Renee</t>
  </si>
  <si>
    <t>Dunn</t>
  </si>
  <si>
    <t>CUST0029</t>
  </si>
  <si>
    <t>David</t>
  </si>
  <si>
    <t>Myers</t>
  </si>
  <si>
    <t>CUST0030</t>
  </si>
  <si>
    <t>Thomas</t>
  </si>
  <si>
    <t>Hill</t>
  </si>
  <si>
    <t>CUST0031</t>
  </si>
  <si>
    <t>Meadows</t>
  </si>
  <si>
    <t>CUST0032</t>
  </si>
  <si>
    <t>Michael</t>
  </si>
  <si>
    <t>Mccoy</t>
  </si>
  <si>
    <t>CUST0033</t>
  </si>
  <si>
    <t>Jason</t>
  </si>
  <si>
    <t>CUST0034</t>
  </si>
  <si>
    <t>Richard</t>
  </si>
  <si>
    <t>Scott</t>
  </si>
  <si>
    <t>CUST0035</t>
  </si>
  <si>
    <t>Kyle</t>
  </si>
  <si>
    <t>Burch</t>
  </si>
  <si>
    <t>CUST0036</t>
  </si>
  <si>
    <t>Carol</t>
  </si>
  <si>
    <t>Nunez</t>
  </si>
  <si>
    <t>CUST0037</t>
  </si>
  <si>
    <t>William</t>
  </si>
  <si>
    <t>Brady</t>
  </si>
  <si>
    <t>CUST0038</t>
  </si>
  <si>
    <t>Sheena</t>
  </si>
  <si>
    <t>Dawson</t>
  </si>
  <si>
    <t>CUST0039</t>
  </si>
  <si>
    <t>Sandra</t>
  </si>
  <si>
    <t>Rodriguez</t>
  </si>
  <si>
    <t>CUST0040</t>
  </si>
  <si>
    <t>Luis</t>
  </si>
  <si>
    <t>Bowen</t>
  </si>
  <si>
    <t>CUST0041</t>
  </si>
  <si>
    <t>Phillip</t>
  </si>
  <si>
    <t>Thompson</t>
  </si>
  <si>
    <t>CUST0042</t>
  </si>
  <si>
    <t>Denise</t>
  </si>
  <si>
    <t>Holder</t>
  </si>
  <si>
    <t>CUST0043</t>
  </si>
  <si>
    <t>Juan</t>
  </si>
  <si>
    <t>Espinoza</t>
  </si>
  <si>
    <t>CUST0044</t>
  </si>
  <si>
    <t>Amanda</t>
  </si>
  <si>
    <t>Gonzalez</t>
  </si>
  <si>
    <t>CUST0045</t>
  </si>
  <si>
    <t>Ann</t>
  </si>
  <si>
    <t>Brooks</t>
  </si>
  <si>
    <t>CUST0046</t>
  </si>
  <si>
    <t>Rogers</t>
  </si>
  <si>
    <t>CUST0047</t>
  </si>
  <si>
    <t>Vickie</t>
  </si>
  <si>
    <t>Lee</t>
  </si>
  <si>
    <t>CUST0048</t>
  </si>
  <si>
    <t>Dana</t>
  </si>
  <si>
    <t>Adams</t>
  </si>
  <si>
    <t>CUST0049</t>
  </si>
  <si>
    <t>Paula</t>
  </si>
  <si>
    <t>Booth</t>
  </si>
  <si>
    <t>CUST0050</t>
  </si>
  <si>
    <t>Gina</t>
  </si>
  <si>
    <t>Johnson</t>
  </si>
  <si>
    <t>CUST0051</t>
  </si>
  <si>
    <t>Jamie</t>
  </si>
  <si>
    <t>Jones</t>
  </si>
  <si>
    <t>CUST0052</t>
  </si>
  <si>
    <t>Edward</t>
  </si>
  <si>
    <t>Pham</t>
  </si>
  <si>
    <t>CUST0053</t>
  </si>
  <si>
    <t>Jack</t>
  </si>
  <si>
    <t>Powell</t>
  </si>
  <si>
    <t>CUST0054</t>
  </si>
  <si>
    <t>CUST0055</t>
  </si>
  <si>
    <t>Roger</t>
  </si>
  <si>
    <t>CUST0056</t>
  </si>
  <si>
    <t>Andrew</t>
  </si>
  <si>
    <t>Bass</t>
  </si>
  <si>
    <t>CUST0057</t>
  </si>
  <si>
    <t>Jasmine</t>
  </si>
  <si>
    <t>Lopez</t>
  </si>
  <si>
    <t>CUST0058</t>
  </si>
  <si>
    <t>Melissa</t>
  </si>
  <si>
    <t>Peck</t>
  </si>
  <si>
    <t>CUST0059</t>
  </si>
  <si>
    <t>Stephen</t>
  </si>
  <si>
    <t>Cordova</t>
  </si>
  <si>
    <t>CUST0060</t>
  </si>
  <si>
    <t>Logan</t>
  </si>
  <si>
    <t>Wall</t>
  </si>
  <si>
    <t>CUST0061</t>
  </si>
  <si>
    <t>Amy</t>
  </si>
  <si>
    <t>Reed</t>
  </si>
  <si>
    <t>CUST0062</t>
  </si>
  <si>
    <t>Tyler</t>
  </si>
  <si>
    <t>Norris</t>
  </si>
  <si>
    <t>CUST0063</t>
  </si>
  <si>
    <t>Angela</t>
  </si>
  <si>
    <t>Turner</t>
  </si>
  <si>
    <t>CUST0064</t>
  </si>
  <si>
    <t>Tammy</t>
  </si>
  <si>
    <t>Miller</t>
  </si>
  <si>
    <t>CUST0065</t>
  </si>
  <si>
    <t>Joe</t>
  </si>
  <si>
    <t>CUST0066</t>
  </si>
  <si>
    <t>Elizabeth</t>
  </si>
  <si>
    <t>CUST0067</t>
  </si>
  <si>
    <t>Nicole</t>
  </si>
  <si>
    <t>CUST0068</t>
  </si>
  <si>
    <t>Whitney</t>
  </si>
  <si>
    <t>Herring</t>
  </si>
  <si>
    <t>CUST0069</t>
  </si>
  <si>
    <t>Steven</t>
  </si>
  <si>
    <t>Fisher</t>
  </si>
  <si>
    <t>CUST0070</t>
  </si>
  <si>
    <t>Stacy</t>
  </si>
  <si>
    <t>Villegas</t>
  </si>
  <si>
    <t>CUST0071</t>
  </si>
  <si>
    <t>Boyer</t>
  </si>
  <si>
    <t>CUST0072</t>
  </si>
  <si>
    <t>James</t>
  </si>
  <si>
    <t>Wise</t>
  </si>
  <si>
    <t>CUST0073</t>
  </si>
  <si>
    <t>Jim</t>
  </si>
  <si>
    <t>Tran</t>
  </si>
  <si>
    <t>CUST0074</t>
  </si>
  <si>
    <t>Martin</t>
  </si>
  <si>
    <t>CUST0075</t>
  </si>
  <si>
    <t>Lonnie</t>
  </si>
  <si>
    <t>Harmon</t>
  </si>
  <si>
    <t>CUST0076</t>
  </si>
  <si>
    <t>Boone</t>
  </si>
  <si>
    <t>CUST0077</t>
  </si>
  <si>
    <t>Sean</t>
  </si>
  <si>
    <t>CUST0078</t>
  </si>
  <si>
    <t>Mack</t>
  </si>
  <si>
    <t>CUST0079</t>
  </si>
  <si>
    <t>Willie</t>
  </si>
  <si>
    <t>CUST0080</t>
  </si>
  <si>
    <t>Silva</t>
  </si>
  <si>
    <t>CUST0081</t>
  </si>
  <si>
    <t>Atkins</t>
  </si>
  <si>
    <t>CUST0082</t>
  </si>
  <si>
    <t>Crystal</t>
  </si>
  <si>
    <t>Harris</t>
  </si>
  <si>
    <t>CUST0083</t>
  </si>
  <si>
    <t>Murphy</t>
  </si>
  <si>
    <t>CUST0084</t>
  </si>
  <si>
    <t>Ashley</t>
  </si>
  <si>
    <t>Crawford</t>
  </si>
  <si>
    <t>CUST0085</t>
  </si>
  <si>
    <t>Ellison</t>
  </si>
  <si>
    <t>CUST0086</t>
  </si>
  <si>
    <t>Burns</t>
  </si>
  <si>
    <t>CUST0087</t>
  </si>
  <si>
    <t>Robert</t>
  </si>
  <si>
    <t>CUST0088</t>
  </si>
  <si>
    <t>Victor</t>
  </si>
  <si>
    <t>Delacruz</t>
  </si>
  <si>
    <t>CUST0089</t>
  </si>
  <si>
    <t>CUST0090</t>
  </si>
  <si>
    <t>CUST0091</t>
  </si>
  <si>
    <t>Grace</t>
  </si>
  <si>
    <t>Kennedy</t>
  </si>
  <si>
    <t>CUST0092</t>
  </si>
  <si>
    <t>Gabriela</t>
  </si>
  <si>
    <t>Keller</t>
  </si>
  <si>
    <t>CUST0093</t>
  </si>
  <si>
    <t>CUST0094</t>
  </si>
  <si>
    <t>Sara</t>
  </si>
  <si>
    <t>Larson</t>
  </si>
  <si>
    <t>CUST0095</t>
  </si>
  <si>
    <t>Joshua</t>
  </si>
  <si>
    <t>CUST0096</t>
  </si>
  <si>
    <t>Dennis</t>
  </si>
  <si>
    <t>Owens</t>
  </si>
  <si>
    <t>CUST0097</t>
  </si>
  <si>
    <t>Kristin</t>
  </si>
  <si>
    <t>Ross</t>
  </si>
  <si>
    <t>CUST0098</t>
  </si>
  <si>
    <t>Trevino</t>
  </si>
  <si>
    <t>CUST0099</t>
  </si>
  <si>
    <t>Anthony</t>
  </si>
  <si>
    <t>Roberts</t>
  </si>
  <si>
    <t>CUST0100</t>
  </si>
  <si>
    <t>Cory</t>
  </si>
  <si>
    <t>CUST0101</t>
  </si>
  <si>
    <t>Shane</t>
  </si>
  <si>
    <t>Sanders</t>
  </si>
  <si>
    <t>CUST0102</t>
  </si>
  <si>
    <t>Chloe</t>
  </si>
  <si>
    <t>Shepard</t>
  </si>
  <si>
    <t>CUST0103</t>
  </si>
  <si>
    <t>Breanna</t>
  </si>
  <si>
    <t>Cline</t>
  </si>
  <si>
    <t>CUST0104</t>
  </si>
  <si>
    <t>Kara</t>
  </si>
  <si>
    <t>Lewis</t>
  </si>
  <si>
    <t>CUST0105</t>
  </si>
  <si>
    <t>Tate</t>
  </si>
  <si>
    <t>CUST0106</t>
  </si>
  <si>
    <t>Kelly</t>
  </si>
  <si>
    <t>CUST0107</t>
  </si>
  <si>
    <t>Clark</t>
  </si>
  <si>
    <t>CUST0108</t>
  </si>
  <si>
    <t>Susan</t>
  </si>
  <si>
    <t>English</t>
  </si>
  <si>
    <t>CUST0109</t>
  </si>
  <si>
    <t>Marcia</t>
  </si>
  <si>
    <t>CUST0110</t>
  </si>
  <si>
    <t>Mann</t>
  </si>
  <si>
    <t>CUST0111</t>
  </si>
  <si>
    <t>Kendra</t>
  </si>
  <si>
    <t>Nguyen</t>
  </si>
  <si>
    <t>CUST0112</t>
  </si>
  <si>
    <t>Laura</t>
  </si>
  <si>
    <t>Torres</t>
  </si>
  <si>
    <t>CUST0113</t>
  </si>
  <si>
    <t>Douglas</t>
  </si>
  <si>
    <t>CUST0114</t>
  </si>
  <si>
    <t>Todd</t>
  </si>
  <si>
    <t>CUST0115</t>
  </si>
  <si>
    <t>Kristen</t>
  </si>
  <si>
    <t>Wilson</t>
  </si>
  <si>
    <t>CUST0116</t>
  </si>
  <si>
    <t>Johnny</t>
  </si>
  <si>
    <t>Wood</t>
  </si>
  <si>
    <t>CUST0117</t>
  </si>
  <si>
    <t>Megan</t>
  </si>
  <si>
    <t>Freeman</t>
  </si>
  <si>
    <t>CUST0118</t>
  </si>
  <si>
    <t>Regina</t>
  </si>
  <si>
    <t>Flores</t>
  </si>
  <si>
    <t>CUST0119</t>
  </si>
  <si>
    <t>Colon</t>
  </si>
  <si>
    <t>CUST0120</t>
  </si>
  <si>
    <t>Rios</t>
  </si>
  <si>
    <t>CUST0121</t>
  </si>
  <si>
    <t>Malone</t>
  </si>
  <si>
    <t>CUST0122</t>
  </si>
  <si>
    <t>Ramos</t>
  </si>
  <si>
    <t>CUST0123</t>
  </si>
  <si>
    <t>Conway</t>
  </si>
  <si>
    <t>CUST0124</t>
  </si>
  <si>
    <t>Diana</t>
  </si>
  <si>
    <t>Moore</t>
  </si>
  <si>
    <t>CUST0125</t>
  </si>
  <si>
    <t>Jenna</t>
  </si>
  <si>
    <t>CUST0126</t>
  </si>
  <si>
    <t>Fowler</t>
  </si>
  <si>
    <t>CUST0127</t>
  </si>
  <si>
    <t>Emily</t>
  </si>
  <si>
    <t>CUST0128</t>
  </si>
  <si>
    <t>Weaver</t>
  </si>
  <si>
    <t>CUST0129</t>
  </si>
  <si>
    <t>Leon</t>
  </si>
  <si>
    <t>CUST0130</t>
  </si>
  <si>
    <t>Jessica</t>
  </si>
  <si>
    <t>Maynard</t>
  </si>
  <si>
    <t>CUST0131</t>
  </si>
  <si>
    <t>Andrea</t>
  </si>
  <si>
    <t>Patterson</t>
  </si>
  <si>
    <t>CUST0132</t>
  </si>
  <si>
    <t>Paul</t>
  </si>
  <si>
    <t>Cruz</t>
  </si>
  <si>
    <t>CUST0133</t>
  </si>
  <si>
    <t>Bond</t>
  </si>
  <si>
    <t>CUST0134</t>
  </si>
  <si>
    <t>George</t>
  </si>
  <si>
    <t>Acosta</t>
  </si>
  <si>
    <t>CUST0135</t>
  </si>
  <si>
    <t>Alan</t>
  </si>
  <si>
    <t>CUST0136</t>
  </si>
  <si>
    <t>CUST0137</t>
  </si>
  <si>
    <t>Matthew</t>
  </si>
  <si>
    <t>CUST0138</t>
  </si>
  <si>
    <t>Ruiz</t>
  </si>
  <si>
    <t>CUST0139</t>
  </si>
  <si>
    <t>Patrick</t>
  </si>
  <si>
    <t>CUST0140</t>
  </si>
  <si>
    <t>Yvonne</t>
  </si>
  <si>
    <t>Callahan</t>
  </si>
  <si>
    <t>CUST0141</t>
  </si>
  <si>
    <t>Carrie</t>
  </si>
  <si>
    <t>Chang</t>
  </si>
  <si>
    <t>CUST0142</t>
  </si>
  <si>
    <t>Pamela</t>
  </si>
  <si>
    <t>Leach</t>
  </si>
  <si>
    <t>CUST0143</t>
  </si>
  <si>
    <t>Omar</t>
  </si>
  <si>
    <t>Welch</t>
  </si>
  <si>
    <t>CUST0144</t>
  </si>
  <si>
    <t>Gabriel</t>
  </si>
  <si>
    <t>Sanchez</t>
  </si>
  <si>
    <t>CUST0145</t>
  </si>
  <si>
    <t>CUST0146</t>
  </si>
  <si>
    <t>Donna</t>
  </si>
  <si>
    <t>CUST0147</t>
  </si>
  <si>
    <t>Stanley</t>
  </si>
  <si>
    <t>CUST0148</t>
  </si>
  <si>
    <t>Traci</t>
  </si>
  <si>
    <t>Carter</t>
  </si>
  <si>
    <t>CUST0149</t>
  </si>
  <si>
    <t>Caldwell</t>
  </si>
  <si>
    <t>CUST0150</t>
  </si>
  <si>
    <t>Tasha</t>
  </si>
  <si>
    <t>CUST0151</t>
  </si>
  <si>
    <t>Candace</t>
  </si>
  <si>
    <t>Clayton</t>
  </si>
  <si>
    <t>CUST0152</t>
  </si>
  <si>
    <t>Catherine</t>
  </si>
  <si>
    <t>Norman</t>
  </si>
  <si>
    <t>CUST0153</t>
  </si>
  <si>
    <t>Suzanne</t>
  </si>
  <si>
    <t>Brewer</t>
  </si>
  <si>
    <t>CUST0154</t>
  </si>
  <si>
    <t>Wagner</t>
  </si>
  <si>
    <t>CUST0155</t>
  </si>
  <si>
    <t>Bradley</t>
  </si>
  <si>
    <t>Zimmerman</t>
  </si>
  <si>
    <t>CUST0156</t>
  </si>
  <si>
    <t>Holland</t>
  </si>
  <si>
    <t>CUST0157</t>
  </si>
  <si>
    <t>Glen</t>
  </si>
  <si>
    <t>Gibson</t>
  </si>
  <si>
    <t>CUST0158</t>
  </si>
  <si>
    <t>Marvin</t>
  </si>
  <si>
    <t>Harvey</t>
  </si>
  <si>
    <t>CUST0159</t>
  </si>
  <si>
    <t>Larry</t>
  </si>
  <si>
    <t>CUST0160</t>
  </si>
  <si>
    <t>CUST0161</t>
  </si>
  <si>
    <t>Schultz</t>
  </si>
  <si>
    <t>CUST0162</t>
  </si>
  <si>
    <t>Adrian</t>
  </si>
  <si>
    <t>Martinez</t>
  </si>
  <si>
    <t>CUST0163</t>
  </si>
  <si>
    <t>Nancy</t>
  </si>
  <si>
    <t>Dixon</t>
  </si>
  <si>
    <t>CUST0164</t>
  </si>
  <si>
    <t>Ruben</t>
  </si>
  <si>
    <t>Davenport</t>
  </si>
  <si>
    <t>CUST0165</t>
  </si>
  <si>
    <t>Natalie</t>
  </si>
  <si>
    <t>CUST0166</t>
  </si>
  <si>
    <t>Mary</t>
  </si>
  <si>
    <t>Mason</t>
  </si>
  <si>
    <t>CUST0167</t>
  </si>
  <si>
    <t>Gary</t>
  </si>
  <si>
    <t>Payne</t>
  </si>
  <si>
    <t>CUST0168</t>
  </si>
  <si>
    <t>Bernard</t>
  </si>
  <si>
    <t>CUST0169</t>
  </si>
  <si>
    <t>Joel</t>
  </si>
  <si>
    <t>Chambers</t>
  </si>
  <si>
    <t>CUST0170</t>
  </si>
  <si>
    <t>CUST0171</t>
  </si>
  <si>
    <t>Taylor</t>
  </si>
  <si>
    <t>CUST0172</t>
  </si>
  <si>
    <t>Chan</t>
  </si>
  <si>
    <t>CUST0173</t>
  </si>
  <si>
    <t>Tiffany</t>
  </si>
  <si>
    <t>Duke</t>
  </si>
  <si>
    <t>CUST0174</t>
  </si>
  <si>
    <t>CUST0175</t>
  </si>
  <si>
    <t>Edwards</t>
  </si>
  <si>
    <t>CUST0176</t>
  </si>
  <si>
    <t>Kathy</t>
  </si>
  <si>
    <t>CUST0177</t>
  </si>
  <si>
    <t>Kim</t>
  </si>
  <si>
    <t>CUST0178</t>
  </si>
  <si>
    <t>Houston</t>
  </si>
  <si>
    <t>CUST0179</t>
  </si>
  <si>
    <t>Patricia</t>
  </si>
  <si>
    <t>Leblanc</t>
  </si>
  <si>
    <t>CUST0180</t>
  </si>
  <si>
    <t>Roberto</t>
  </si>
  <si>
    <t>Ward</t>
  </si>
  <si>
    <t>CUST0181</t>
  </si>
  <si>
    <t>Richardson</t>
  </si>
  <si>
    <t>CUST0182</t>
  </si>
  <si>
    <t>Pratt</t>
  </si>
  <si>
    <t>CUST0183</t>
  </si>
  <si>
    <t>Hansen</t>
  </si>
  <si>
    <t>CUST0184</t>
  </si>
  <si>
    <t>CUST0185</t>
  </si>
  <si>
    <t>Michelle</t>
  </si>
  <si>
    <t>CUST0186</t>
  </si>
  <si>
    <t>Heather</t>
  </si>
  <si>
    <t>CUST0187</t>
  </si>
  <si>
    <t>CUST0188</t>
  </si>
  <si>
    <t>CUST0189</t>
  </si>
  <si>
    <t>Jeff</t>
  </si>
  <si>
    <t>CUST0190</t>
  </si>
  <si>
    <t>Jeffrey</t>
  </si>
  <si>
    <t>Long</t>
  </si>
  <si>
    <t>CUST0191</t>
  </si>
  <si>
    <t>CUST0192</t>
  </si>
  <si>
    <t>Debra</t>
  </si>
  <si>
    <t>Kaufman</t>
  </si>
  <si>
    <t>CUST0193</t>
  </si>
  <si>
    <t>CUST0194</t>
  </si>
  <si>
    <t>Louis</t>
  </si>
  <si>
    <t>Morris</t>
  </si>
  <si>
    <t>CUST0195</t>
  </si>
  <si>
    <t>CUST0196</t>
  </si>
  <si>
    <t>Tina</t>
  </si>
  <si>
    <t>Farley</t>
  </si>
  <si>
    <t>CUST0197</t>
  </si>
  <si>
    <t>Murillo</t>
  </si>
  <si>
    <t>CUST0198</t>
  </si>
  <si>
    <t>Ronnie</t>
  </si>
  <si>
    <t>CUST0199</t>
  </si>
  <si>
    <t>Justin</t>
  </si>
  <si>
    <t>CUST0200</t>
  </si>
  <si>
    <t>Joseph</t>
  </si>
  <si>
    <t>CUST0201</t>
  </si>
  <si>
    <t>CUST0202</t>
  </si>
  <si>
    <t>Schroeder</t>
  </si>
  <si>
    <t>CUST0203</t>
  </si>
  <si>
    <t>Garrett</t>
  </si>
  <si>
    <t>Cherry</t>
  </si>
  <si>
    <t>CUST0204</t>
  </si>
  <si>
    <t>Arthur</t>
  </si>
  <si>
    <t>Mccarthy</t>
  </si>
  <si>
    <t>CUST0205</t>
  </si>
  <si>
    <t>Veronica</t>
  </si>
  <si>
    <t>Chaney</t>
  </si>
  <si>
    <t>CUST0206</t>
  </si>
  <si>
    <t>Cathy</t>
  </si>
  <si>
    <t>CUST0207</t>
  </si>
  <si>
    <t>Costa</t>
  </si>
  <si>
    <t>CUST0208</t>
  </si>
  <si>
    <t>Duncan</t>
  </si>
  <si>
    <t>CUST0209</t>
  </si>
  <si>
    <t>Manuel</t>
  </si>
  <si>
    <t>CUST0210</t>
  </si>
  <si>
    <t>Julie</t>
  </si>
  <si>
    <t>Hahn</t>
  </si>
  <si>
    <t>CUST0211</t>
  </si>
  <si>
    <t>Darren</t>
  </si>
  <si>
    <t>CUST0212</t>
  </si>
  <si>
    <t>Castro</t>
  </si>
  <si>
    <t>CUST0213</t>
  </si>
  <si>
    <t>Hicks</t>
  </si>
  <si>
    <t>CUST0214</t>
  </si>
  <si>
    <t>Cox</t>
  </si>
  <si>
    <t>CUST0215</t>
  </si>
  <si>
    <t>CUST0216</t>
  </si>
  <si>
    <t>Vernon</t>
  </si>
  <si>
    <t>Cooke</t>
  </si>
  <si>
    <t>CUST0217</t>
  </si>
  <si>
    <t>Tony</t>
  </si>
  <si>
    <t>CUST0218</t>
  </si>
  <si>
    <t>Esparza</t>
  </si>
  <si>
    <t>CUST0219</t>
  </si>
  <si>
    <t>Frederick</t>
  </si>
  <si>
    <t>Valenzuela</t>
  </si>
  <si>
    <t>CUST0220</t>
  </si>
  <si>
    <t>Katherine</t>
  </si>
  <si>
    <t>CUST0221</t>
  </si>
  <si>
    <t>Keith</t>
  </si>
  <si>
    <t>Price</t>
  </si>
  <si>
    <t>CUST0222</t>
  </si>
  <si>
    <t>Gillespie</t>
  </si>
  <si>
    <t>CUST0223</t>
  </si>
  <si>
    <t>Valencia</t>
  </si>
  <si>
    <t>CUST0224</t>
  </si>
  <si>
    <t>Lawrence</t>
  </si>
  <si>
    <t>CUST0225</t>
  </si>
  <si>
    <t>Brooke</t>
  </si>
  <si>
    <t>Wheeler</t>
  </si>
  <si>
    <t>CUST0226</t>
  </si>
  <si>
    <t>Davis</t>
  </si>
  <si>
    <t>CUST0227</t>
  </si>
  <si>
    <t>CUST0228</t>
  </si>
  <si>
    <t>Dickson</t>
  </si>
  <si>
    <t>CUST0229</t>
  </si>
  <si>
    <t>Jay</t>
  </si>
  <si>
    <t>Mcbride</t>
  </si>
  <si>
    <t>CUST0230</t>
  </si>
  <si>
    <t>CUST0231</t>
  </si>
  <si>
    <t>Andrews</t>
  </si>
  <si>
    <t>CUST0232</t>
  </si>
  <si>
    <t>CUST0233</t>
  </si>
  <si>
    <t>Shaun</t>
  </si>
  <si>
    <t>CUST0234</t>
  </si>
  <si>
    <t>Kimberly</t>
  </si>
  <si>
    <t>CUST0235</t>
  </si>
  <si>
    <t>Cheryl</t>
  </si>
  <si>
    <t>CUST0236</t>
  </si>
  <si>
    <t>Wells</t>
  </si>
  <si>
    <t>CUST0237</t>
  </si>
  <si>
    <t>CUST0238</t>
  </si>
  <si>
    <t>Shawn</t>
  </si>
  <si>
    <t>Kerr</t>
  </si>
  <si>
    <t>CUST0239</t>
  </si>
  <si>
    <t>CUST0240</t>
  </si>
  <si>
    <t>Samuel</t>
  </si>
  <si>
    <t>Horn</t>
  </si>
  <si>
    <t>CUST0241</t>
  </si>
  <si>
    <t>Christina</t>
  </si>
  <si>
    <t>CUST0242</t>
  </si>
  <si>
    <t>Caitlin</t>
  </si>
  <si>
    <t>Harrison</t>
  </si>
  <si>
    <t>CUST0243</t>
  </si>
  <si>
    <t>Erin</t>
  </si>
  <si>
    <t>Perez</t>
  </si>
  <si>
    <t>CUST0244</t>
  </si>
  <si>
    <t>CUST0245</t>
  </si>
  <si>
    <t>Nelson</t>
  </si>
  <si>
    <t>CUST0246</t>
  </si>
  <si>
    <t>Osborne</t>
  </si>
  <si>
    <t>CUST0247</t>
  </si>
  <si>
    <t>Kathleen</t>
  </si>
  <si>
    <t>Pugh</t>
  </si>
  <si>
    <t>CUST0248</t>
  </si>
  <si>
    <t>Mendoza</t>
  </si>
  <si>
    <t>CUST0249</t>
  </si>
  <si>
    <t>Matthews</t>
  </si>
  <si>
    <t>CUST0250</t>
  </si>
  <si>
    <t>Montes</t>
  </si>
  <si>
    <t>CUST0251</t>
  </si>
  <si>
    <t>CUST0252</t>
  </si>
  <si>
    <t>Butler</t>
  </si>
  <si>
    <t>CUST0253</t>
  </si>
  <si>
    <t>Brianna</t>
  </si>
  <si>
    <t>CUST0254</t>
  </si>
  <si>
    <t>Brandon</t>
  </si>
  <si>
    <t>Sullivan</t>
  </si>
  <si>
    <t>CUST0255</t>
  </si>
  <si>
    <t>Sarah</t>
  </si>
  <si>
    <t>CUST0256</t>
  </si>
  <si>
    <t>Connor</t>
  </si>
  <si>
    <t>CUST0257</t>
  </si>
  <si>
    <t>Cohen</t>
  </si>
  <si>
    <t>CUST0258</t>
  </si>
  <si>
    <t>Lindsay</t>
  </si>
  <si>
    <t>CUST0259</t>
  </si>
  <si>
    <t>Teresa</t>
  </si>
  <si>
    <t>CUST0260</t>
  </si>
  <si>
    <t>Ortega</t>
  </si>
  <si>
    <t>CUST0261</t>
  </si>
  <si>
    <t>Bobby</t>
  </si>
  <si>
    <t>CUST0262</t>
  </si>
  <si>
    <t>CUST0263</t>
  </si>
  <si>
    <t>Lauren</t>
  </si>
  <si>
    <t>Hood</t>
  </si>
  <si>
    <t>CUST0264</t>
  </si>
  <si>
    <t>Odonnell</t>
  </si>
  <si>
    <t>CUST0265</t>
  </si>
  <si>
    <t>Fuller</t>
  </si>
  <si>
    <t>CUST0266</t>
  </si>
  <si>
    <t>Robinson</t>
  </si>
  <si>
    <t>CUST0267</t>
  </si>
  <si>
    <t>Lucas</t>
  </si>
  <si>
    <t>CUST0268</t>
  </si>
  <si>
    <t>Brian</t>
  </si>
  <si>
    <t>CUST0269</t>
  </si>
  <si>
    <t>CUST0270</t>
  </si>
  <si>
    <t>Arellano</t>
  </si>
  <si>
    <t>CUST0271</t>
  </si>
  <si>
    <t>Amber</t>
  </si>
  <si>
    <t>CUST0272</t>
  </si>
  <si>
    <t>CUST0273</t>
  </si>
  <si>
    <t>CUST0274</t>
  </si>
  <si>
    <t>CUST0275</t>
  </si>
  <si>
    <t>Brandy</t>
  </si>
  <si>
    <t>CUST0276</t>
  </si>
  <si>
    <t>Isabella</t>
  </si>
  <si>
    <t>Marks</t>
  </si>
  <si>
    <t>CUST0277</t>
  </si>
  <si>
    <t>Erica</t>
  </si>
  <si>
    <t>Peters</t>
  </si>
  <si>
    <t>CUST0278</t>
  </si>
  <si>
    <t>Jill</t>
  </si>
  <si>
    <t>CUST0279</t>
  </si>
  <si>
    <t>Haley</t>
  </si>
  <si>
    <t>Holden</t>
  </si>
  <si>
    <t>CUST0280</t>
  </si>
  <si>
    <t>CUST0281</t>
  </si>
  <si>
    <t>CUST0282</t>
  </si>
  <si>
    <t>CUST0283</t>
  </si>
  <si>
    <t>CUST0284</t>
  </si>
  <si>
    <t>Michele</t>
  </si>
  <si>
    <t>CUST0285</t>
  </si>
  <si>
    <t>Gordon</t>
  </si>
  <si>
    <t>CUST0286</t>
  </si>
  <si>
    <t>Stone</t>
  </si>
  <si>
    <t>CUST0287</t>
  </si>
  <si>
    <t>CUST0288</t>
  </si>
  <si>
    <t>Stevens</t>
  </si>
  <si>
    <t>CUST0289</t>
  </si>
  <si>
    <t>Holmes</t>
  </si>
  <si>
    <t>CUST0290</t>
  </si>
  <si>
    <t>Jodi</t>
  </si>
  <si>
    <t>CUST0291</t>
  </si>
  <si>
    <t>Kirk</t>
  </si>
  <si>
    <t>CUST0292</t>
  </si>
  <si>
    <t>CUST0293</t>
  </si>
  <si>
    <t>CUST0294</t>
  </si>
  <si>
    <t>Timothy</t>
  </si>
  <si>
    <t>Baker</t>
  </si>
  <si>
    <t>CUST0295</t>
  </si>
  <si>
    <t>Larsen</t>
  </si>
  <si>
    <t>CUST0296</t>
  </si>
  <si>
    <t>CUST0297</t>
  </si>
  <si>
    <t>Tommy</t>
  </si>
  <si>
    <t>CUST0298</t>
  </si>
  <si>
    <t>CUST0299</t>
  </si>
  <si>
    <t>Stephens</t>
  </si>
  <si>
    <t>CUST0300</t>
  </si>
  <si>
    <t>Tracy</t>
  </si>
  <si>
    <t>Palmer</t>
  </si>
  <si>
    <t>CUST0301</t>
  </si>
  <si>
    <t>Greene</t>
  </si>
  <si>
    <t>CUST0302</t>
  </si>
  <si>
    <t>Bailey</t>
  </si>
  <si>
    <t>CUST0303</t>
  </si>
  <si>
    <t>CUST0304</t>
  </si>
  <si>
    <t>Wiley</t>
  </si>
  <si>
    <t>CUST0305</t>
  </si>
  <si>
    <t>Neal</t>
  </si>
  <si>
    <t>CUST0306</t>
  </si>
  <si>
    <t>CUST0307</t>
  </si>
  <si>
    <t>Deborah</t>
  </si>
  <si>
    <t>Sexton</t>
  </si>
  <si>
    <t>CUST0308</t>
  </si>
  <si>
    <t>Alyssa</t>
  </si>
  <si>
    <t>CUST0309</t>
  </si>
  <si>
    <t>Rebecca</t>
  </si>
  <si>
    <t>Diaz</t>
  </si>
  <si>
    <t>CUST0310</t>
  </si>
  <si>
    <t>Villa</t>
  </si>
  <si>
    <t>CUST0311</t>
  </si>
  <si>
    <t>CUST0312</t>
  </si>
  <si>
    <t>Guzman</t>
  </si>
  <si>
    <t>CUST0313</t>
  </si>
  <si>
    <t>Samantha</t>
  </si>
  <si>
    <t>Williams</t>
  </si>
  <si>
    <t>CUST0314</t>
  </si>
  <si>
    <t>Adam</t>
  </si>
  <si>
    <t>CUST0315</t>
  </si>
  <si>
    <t>Lori</t>
  </si>
  <si>
    <t>Hoffman</t>
  </si>
  <si>
    <t>CUST0316</t>
  </si>
  <si>
    <t>Walker</t>
  </si>
  <si>
    <t>CUST0317</t>
  </si>
  <si>
    <t>Jonathan</t>
  </si>
  <si>
    <t>Black</t>
  </si>
  <si>
    <t>CUST0318</t>
  </si>
  <si>
    <t>Kristina</t>
  </si>
  <si>
    <t>CUST0319</t>
  </si>
  <si>
    <t>Mckee</t>
  </si>
  <si>
    <t>CUST0320</t>
  </si>
  <si>
    <t>Morgan</t>
  </si>
  <si>
    <t>CUST0321</t>
  </si>
  <si>
    <t>CUST0322</t>
  </si>
  <si>
    <t>Lisa</t>
  </si>
  <si>
    <t>CUST0323</t>
  </si>
  <si>
    <t>CUST0324</t>
  </si>
  <si>
    <t>Alejandra</t>
  </si>
  <si>
    <t>Mullins</t>
  </si>
  <si>
    <t>CUST0325</t>
  </si>
  <si>
    <t>CUST0326</t>
  </si>
  <si>
    <t>CUST0327</t>
  </si>
  <si>
    <t>Eaton</t>
  </si>
  <si>
    <t>CUST0328</t>
  </si>
  <si>
    <t>CUST0329</t>
  </si>
  <si>
    <t>CUST0330</t>
  </si>
  <si>
    <t>Danielle</t>
  </si>
  <si>
    <t>Parker</t>
  </si>
  <si>
    <t>CUST0331</t>
  </si>
  <si>
    <t>CUST0332</t>
  </si>
  <si>
    <t>Schmidt</t>
  </si>
  <si>
    <t>CUST0333</t>
  </si>
  <si>
    <t>Trevor</t>
  </si>
  <si>
    <t>Gill</t>
  </si>
  <si>
    <t>CUST0334</t>
  </si>
  <si>
    <t>Arnold</t>
  </si>
  <si>
    <t>CUST0335</t>
  </si>
  <si>
    <t>Marie</t>
  </si>
  <si>
    <t>Hurley</t>
  </si>
  <si>
    <t>CUST0336</t>
  </si>
  <si>
    <t>Victoria</t>
  </si>
  <si>
    <t>CUST0337</t>
  </si>
  <si>
    <t>Woodard</t>
  </si>
  <si>
    <t>CUST0338</t>
  </si>
  <si>
    <t>Margaret</t>
  </si>
  <si>
    <t>Bennett</t>
  </si>
  <si>
    <t>CUST0339</t>
  </si>
  <si>
    <t>Lambert</t>
  </si>
  <si>
    <t>CUST0340</t>
  </si>
  <si>
    <t>Baldwin</t>
  </si>
  <si>
    <t>CUST0341</t>
  </si>
  <si>
    <t>Jackson</t>
  </si>
  <si>
    <t>CUST0342</t>
  </si>
  <si>
    <t>Jeremy</t>
  </si>
  <si>
    <t>CUST0343</t>
  </si>
  <si>
    <t>Shelton</t>
  </si>
  <si>
    <t>CUST0344</t>
  </si>
  <si>
    <t>CUST0345</t>
  </si>
  <si>
    <t>CUST0346</t>
  </si>
  <si>
    <t>Kayla</t>
  </si>
  <si>
    <t>Mcconnell</t>
  </si>
  <si>
    <t>CUST0347</t>
  </si>
  <si>
    <t>Robin</t>
  </si>
  <si>
    <t>Miranda</t>
  </si>
  <si>
    <t>CUST0348</t>
  </si>
  <si>
    <t>Zachary</t>
  </si>
  <si>
    <t>CUST0349</t>
  </si>
  <si>
    <t>Henderson</t>
  </si>
  <si>
    <t>CUST0350</t>
  </si>
  <si>
    <t>Linda</t>
  </si>
  <si>
    <t>Gould</t>
  </si>
  <si>
    <t>CUST0351</t>
  </si>
  <si>
    <t>CUST0352</t>
  </si>
  <si>
    <t>Rachel</t>
  </si>
  <si>
    <t>Bauer</t>
  </si>
  <si>
    <t>CUST0353</t>
  </si>
  <si>
    <t>Moss</t>
  </si>
  <si>
    <t>CUST0354</t>
  </si>
  <si>
    <t>Blackwell</t>
  </si>
  <si>
    <t>CUST0355</t>
  </si>
  <si>
    <t>Antonio</t>
  </si>
  <si>
    <t>Underwood</t>
  </si>
  <si>
    <t>CUST0356</t>
  </si>
  <si>
    <t>Gerald</t>
  </si>
  <si>
    <t>CUST0357</t>
  </si>
  <si>
    <t>Guerra</t>
  </si>
  <si>
    <t>CUST0358</t>
  </si>
  <si>
    <t>CUST0359</t>
  </si>
  <si>
    <t>Mathews</t>
  </si>
  <si>
    <t>CUST0360</t>
  </si>
  <si>
    <t>Banks</t>
  </si>
  <si>
    <t>CUST0361</t>
  </si>
  <si>
    <t>Kaitlin</t>
  </si>
  <si>
    <t>Romero</t>
  </si>
  <si>
    <t>CUST0362</t>
  </si>
  <si>
    <t>Brad</t>
  </si>
  <si>
    <t>CUST0363</t>
  </si>
  <si>
    <t>Foster</t>
  </si>
  <si>
    <t>CUST0364</t>
  </si>
  <si>
    <t>Mays</t>
  </si>
  <si>
    <t>CUST0365</t>
  </si>
  <si>
    <t>Tonya</t>
  </si>
  <si>
    <t>CUST0366</t>
  </si>
  <si>
    <t>CUST0367</t>
  </si>
  <si>
    <t>Knight</t>
  </si>
  <si>
    <t>CUST0368</t>
  </si>
  <si>
    <t>Alvarado</t>
  </si>
  <si>
    <t>CUST0369</t>
  </si>
  <si>
    <t>Vanessa</t>
  </si>
  <si>
    <t>CUST0370</t>
  </si>
  <si>
    <t>Alexandra</t>
  </si>
  <si>
    <t>CUST0371</t>
  </si>
  <si>
    <t>Merritt</t>
  </si>
  <si>
    <t>CUST0372</t>
  </si>
  <si>
    <t>Deanna</t>
  </si>
  <si>
    <t>West</t>
  </si>
  <si>
    <t>CUST0373</t>
  </si>
  <si>
    <t>CUST0374</t>
  </si>
  <si>
    <t>CUST0375</t>
  </si>
  <si>
    <t>Kathryn</t>
  </si>
  <si>
    <t>Richmond</t>
  </si>
  <si>
    <t>CUST0376</t>
  </si>
  <si>
    <t>Brittney</t>
  </si>
  <si>
    <t>CUST0377</t>
  </si>
  <si>
    <t>CUST0378</t>
  </si>
  <si>
    <t>Sutton</t>
  </si>
  <si>
    <t>CUST0379</t>
  </si>
  <si>
    <t>Warren</t>
  </si>
  <si>
    <t>CUST0380</t>
  </si>
  <si>
    <t>Jeremiah</t>
  </si>
  <si>
    <t>Becker</t>
  </si>
  <si>
    <t>CUST0381</t>
  </si>
  <si>
    <t>Hunter</t>
  </si>
  <si>
    <t>CUST0382</t>
  </si>
  <si>
    <t>Serrano</t>
  </si>
  <si>
    <t>CUST0383</t>
  </si>
  <si>
    <t>CUST0384</t>
  </si>
  <si>
    <t>CUST0385</t>
  </si>
  <si>
    <t>Xavier</t>
  </si>
  <si>
    <t>Evans</t>
  </si>
  <si>
    <t>CUST0386</t>
  </si>
  <si>
    <t>Powers</t>
  </si>
  <si>
    <t>CUST0387</t>
  </si>
  <si>
    <t>CUST0388</t>
  </si>
  <si>
    <t>CUST0389</t>
  </si>
  <si>
    <t>CUST0390</t>
  </si>
  <si>
    <t>CUST0391</t>
  </si>
  <si>
    <t>King</t>
  </si>
  <si>
    <t>CUST0392</t>
  </si>
  <si>
    <t>Casey</t>
  </si>
  <si>
    <t>CUST0393</t>
  </si>
  <si>
    <t>Hector</t>
  </si>
  <si>
    <t>CUST0394</t>
  </si>
  <si>
    <t>Savannah</t>
  </si>
  <si>
    <t>CUST0395</t>
  </si>
  <si>
    <t>Diane</t>
  </si>
  <si>
    <t>Oconnor</t>
  </si>
  <si>
    <t>CUST0396</t>
  </si>
  <si>
    <t>Garner</t>
  </si>
  <si>
    <t>CUST0397</t>
  </si>
  <si>
    <t>Molly</t>
  </si>
  <si>
    <t>CUST0398</t>
  </si>
  <si>
    <t>CUST0399</t>
  </si>
  <si>
    <t>Christian</t>
  </si>
  <si>
    <t>Randolph</t>
  </si>
  <si>
    <t>CUST0400</t>
  </si>
  <si>
    <t>Mcdonald</t>
  </si>
  <si>
    <t>CUST0401</t>
  </si>
  <si>
    <t>York</t>
  </si>
  <si>
    <t>CUST0402</t>
  </si>
  <si>
    <t>CUST0403</t>
  </si>
  <si>
    <t>Wilkinson</t>
  </si>
  <si>
    <t>CUST0404</t>
  </si>
  <si>
    <t>CUST0405</t>
  </si>
  <si>
    <t>CUST0406</t>
  </si>
  <si>
    <t>Barbara</t>
  </si>
  <si>
    <t>Gomez</t>
  </si>
  <si>
    <t>CUST0407</t>
  </si>
  <si>
    <t>Alexander</t>
  </si>
  <si>
    <t>Mitchell</t>
  </si>
  <si>
    <t>CUST0408</t>
  </si>
  <si>
    <t>Henry</t>
  </si>
  <si>
    <t>French</t>
  </si>
  <si>
    <t>CUST0409</t>
  </si>
  <si>
    <t>CUST0410</t>
  </si>
  <si>
    <t>Mcdaniel</t>
  </si>
  <si>
    <t>CUST0411</t>
  </si>
  <si>
    <t>Destiny</t>
  </si>
  <si>
    <t>CUST0412</t>
  </si>
  <si>
    <t>CUST0413</t>
  </si>
  <si>
    <t>CUST0414</t>
  </si>
  <si>
    <t>CUST0415</t>
  </si>
  <si>
    <t>CUST0416</t>
  </si>
  <si>
    <t>CUST0417</t>
  </si>
  <si>
    <t>Dominguez</t>
  </si>
  <si>
    <t>CUST0418</t>
  </si>
  <si>
    <t>Sergio</t>
  </si>
  <si>
    <t>Rivera</t>
  </si>
  <si>
    <t>CUST0419</t>
  </si>
  <si>
    <t>Jesse</t>
  </si>
  <si>
    <t>CUST0420</t>
  </si>
  <si>
    <t>CUST0421</t>
  </si>
  <si>
    <t>CUST0422</t>
  </si>
  <si>
    <t>Parrish</t>
  </si>
  <si>
    <t>CUST0423</t>
  </si>
  <si>
    <t>Carolyn</t>
  </si>
  <si>
    <t>Rosales</t>
  </si>
  <si>
    <t>CUST0424</t>
  </si>
  <si>
    <t>CUST0425</t>
  </si>
  <si>
    <t>CUST0426</t>
  </si>
  <si>
    <t>CUST0427</t>
  </si>
  <si>
    <t>CUST0428</t>
  </si>
  <si>
    <t>Rodgers</t>
  </si>
  <si>
    <t>CUST0429</t>
  </si>
  <si>
    <t>CUST0430</t>
  </si>
  <si>
    <t>CUST0431</t>
  </si>
  <si>
    <t>Murray</t>
  </si>
  <si>
    <t>CUST0432</t>
  </si>
  <si>
    <t>Jenkins</t>
  </si>
  <si>
    <t>CUST0433</t>
  </si>
  <si>
    <t>CUST0434</t>
  </si>
  <si>
    <t>Macias</t>
  </si>
  <si>
    <t>CUST0435</t>
  </si>
  <si>
    <t>CUST0436</t>
  </si>
  <si>
    <t>Ball</t>
  </si>
  <si>
    <t>CUST0437</t>
  </si>
  <si>
    <t>CUST0438</t>
  </si>
  <si>
    <t>Ho</t>
  </si>
  <si>
    <t>CUST0439</t>
  </si>
  <si>
    <t>April</t>
  </si>
  <si>
    <t>Webster</t>
  </si>
  <si>
    <t>CUST0440</t>
  </si>
  <si>
    <t>Austin</t>
  </si>
  <si>
    <t>CUST0441</t>
  </si>
  <si>
    <t>Hernandez</t>
  </si>
  <si>
    <t>CUST0442</t>
  </si>
  <si>
    <t>Jared</t>
  </si>
  <si>
    <t>CUST0443</t>
  </si>
  <si>
    <t>CUST0444</t>
  </si>
  <si>
    <t>CUST0445</t>
  </si>
  <si>
    <t>Martha</t>
  </si>
  <si>
    <t>Shannon</t>
  </si>
  <si>
    <t>CUST0446</t>
  </si>
  <si>
    <t>Kristopher</t>
  </si>
  <si>
    <t>CUST0447</t>
  </si>
  <si>
    <t>Jillian</t>
  </si>
  <si>
    <t>Webb</t>
  </si>
  <si>
    <t>CUST0448</t>
  </si>
  <si>
    <t>CUST0449</t>
  </si>
  <si>
    <t>Cortez</t>
  </si>
  <si>
    <t>CUST0450</t>
  </si>
  <si>
    <t>Tucker</t>
  </si>
  <si>
    <t>CUST0451</t>
  </si>
  <si>
    <t>Holt</t>
  </si>
  <si>
    <t>CUST0452</t>
  </si>
  <si>
    <t>CUST0453</t>
  </si>
  <si>
    <t>CUST0454</t>
  </si>
  <si>
    <t>CUST0455</t>
  </si>
  <si>
    <t>CUST0456</t>
  </si>
  <si>
    <t>Alexandria</t>
  </si>
  <si>
    <t>CUST0457</t>
  </si>
  <si>
    <t>CUST0458</t>
  </si>
  <si>
    <t>Cameron</t>
  </si>
  <si>
    <t>CUST0459</t>
  </si>
  <si>
    <t>CUST0460</t>
  </si>
  <si>
    <t>Francis</t>
  </si>
  <si>
    <t>CUST0461</t>
  </si>
  <si>
    <t>Blake</t>
  </si>
  <si>
    <t>CUST0462</t>
  </si>
  <si>
    <t>Franklin</t>
  </si>
  <si>
    <t>Marsh</t>
  </si>
  <si>
    <t>CUST0463</t>
  </si>
  <si>
    <t>Jesus</t>
  </si>
  <si>
    <t>CUST0464</t>
  </si>
  <si>
    <t>CUST0465</t>
  </si>
  <si>
    <t>CUST0466</t>
  </si>
  <si>
    <t>Hess</t>
  </si>
  <si>
    <t>CUST0467</t>
  </si>
  <si>
    <t>CUST0468</t>
  </si>
  <si>
    <t>CUST0469</t>
  </si>
  <si>
    <t>Skinner</t>
  </si>
  <si>
    <t>CUST0470</t>
  </si>
  <si>
    <t>Pope</t>
  </si>
  <si>
    <t>CUST0471</t>
  </si>
  <si>
    <t>Mackenzie</t>
  </si>
  <si>
    <t>Davidson</t>
  </si>
  <si>
    <t>CUST0472</t>
  </si>
  <si>
    <t>Boyd</t>
  </si>
  <si>
    <t>CUST0473</t>
  </si>
  <si>
    <t>Hayes</t>
  </si>
  <si>
    <t>CUST0474</t>
  </si>
  <si>
    <t>CUST0475</t>
  </si>
  <si>
    <t>Mccann</t>
  </si>
  <si>
    <t>CUST0476</t>
  </si>
  <si>
    <t>Charles</t>
  </si>
  <si>
    <t>CUST0477</t>
  </si>
  <si>
    <t>Gloria</t>
  </si>
  <si>
    <t>Kelley</t>
  </si>
  <si>
    <t>CUST0478</t>
  </si>
  <si>
    <t>Cardenas</t>
  </si>
  <si>
    <t>CUST0479</t>
  </si>
  <si>
    <t>Gregory</t>
  </si>
  <si>
    <t>CUST0480</t>
  </si>
  <si>
    <t>Ruth</t>
  </si>
  <si>
    <t>Peterson</t>
  </si>
  <si>
    <t>CUST0481</t>
  </si>
  <si>
    <t>Carlson</t>
  </si>
  <si>
    <t>CUST0482</t>
  </si>
  <si>
    <t>CUST0483</t>
  </si>
  <si>
    <t>CUST0484</t>
  </si>
  <si>
    <t>CUST0485</t>
  </si>
  <si>
    <t>CUST0486</t>
  </si>
  <si>
    <t>CUST0487</t>
  </si>
  <si>
    <t>Hall</t>
  </si>
  <si>
    <t>CUST0488</t>
  </si>
  <si>
    <t>CUST0489</t>
  </si>
  <si>
    <t>CUST0490</t>
  </si>
  <si>
    <t>CUST0491</t>
  </si>
  <si>
    <t>CUST0492</t>
  </si>
  <si>
    <t>CUST0493</t>
  </si>
  <si>
    <t>Ferguson</t>
  </si>
  <si>
    <t>CUST0494</t>
  </si>
  <si>
    <t>CUST0495</t>
  </si>
  <si>
    <t>CUST0496</t>
  </si>
  <si>
    <t>Brenda</t>
  </si>
  <si>
    <t>Simmons</t>
  </si>
  <si>
    <t>CUST0497</t>
  </si>
  <si>
    <t>CUST0498</t>
  </si>
  <si>
    <t>Hannah</t>
  </si>
  <si>
    <t>CUST0499</t>
  </si>
  <si>
    <t>Little</t>
  </si>
  <si>
    <t>CUST0500</t>
  </si>
  <si>
    <t>Eric</t>
  </si>
  <si>
    <t>Rhodes</t>
  </si>
  <si>
    <t>Age2</t>
  </si>
  <si>
    <t>Gender2</t>
  </si>
  <si>
    <t>Name</t>
  </si>
  <si>
    <t>Loan Amount2</t>
  </si>
  <si>
    <t>Ellen Young</t>
  </si>
  <si>
    <t>Mark Watson</t>
  </si>
  <si>
    <t>Jennifer Daniels</t>
  </si>
  <si>
    <t>Karen Jordan</t>
  </si>
  <si>
    <t>Ryan Ford</t>
  </si>
  <si>
    <t>Alexis Roy</t>
  </si>
  <si>
    <t>Jonathon Wright</t>
  </si>
  <si>
    <t>Kevin Daniel</t>
  </si>
  <si>
    <t>Aaron Carpenter</t>
  </si>
  <si>
    <t>Brittany Anderson</t>
  </si>
  <si>
    <t>Jose Carson</t>
  </si>
  <si>
    <t>Christopher Smith</t>
  </si>
  <si>
    <t>Brent Robbins</t>
  </si>
  <si>
    <t>Benjamin Alvarez</t>
  </si>
  <si>
    <t>Kenneth Barker</t>
  </si>
  <si>
    <t>Nathan Humphrey</t>
  </si>
  <si>
    <t>Rodney Mueller</t>
  </si>
  <si>
    <t>John Williamson</t>
  </si>
  <si>
    <t>Alexis Collins</t>
  </si>
  <si>
    <t>Dustin Garcia</t>
  </si>
  <si>
    <t>Raymond Brown</t>
  </si>
  <si>
    <t>Latoya White</t>
  </si>
  <si>
    <t>Kelsey Castillo</t>
  </si>
  <si>
    <t>Allison Wang</t>
  </si>
  <si>
    <t>Theresa Crosby</t>
  </si>
  <si>
    <t>Katelyn Ramirez</t>
  </si>
  <si>
    <t>Marc Newman</t>
  </si>
  <si>
    <t>Renee Dunn</t>
  </si>
  <si>
    <t>David Myers</t>
  </si>
  <si>
    <t>Thomas Hill</t>
  </si>
  <si>
    <t>Kenneth Meadows</t>
  </si>
  <si>
    <t>Michael Mccoy</t>
  </si>
  <si>
    <t>Jason Crosby</t>
  </si>
  <si>
    <t>Richard Scott</t>
  </si>
  <si>
    <t>Kyle Burch</t>
  </si>
  <si>
    <t>Carol Nunez</t>
  </si>
  <si>
    <t>William Brady</t>
  </si>
  <si>
    <t>Sheena Dawson</t>
  </si>
  <si>
    <t>Sandra Rodriguez</t>
  </si>
  <si>
    <t>Luis Bowen</t>
  </si>
  <si>
    <t>Phillip Thompson</t>
  </si>
  <si>
    <t>Denise Holder</t>
  </si>
  <si>
    <t>Juan Espinoza</t>
  </si>
  <si>
    <t>Amanda Gonzalez</t>
  </si>
  <si>
    <t>Ann Brooks</t>
  </si>
  <si>
    <t>Allison Rogers</t>
  </si>
  <si>
    <t>Vickie Lee</t>
  </si>
  <si>
    <t>Dana Adams</t>
  </si>
  <si>
    <t>Paula Booth</t>
  </si>
  <si>
    <t>Gina Johnson</t>
  </si>
  <si>
    <t>Jamie Jones</t>
  </si>
  <si>
    <t>Edward Pham</t>
  </si>
  <si>
    <t>Jack Powell</t>
  </si>
  <si>
    <t>Kevin Lee</t>
  </si>
  <si>
    <t>Roger Gonzalez</t>
  </si>
  <si>
    <t>Andrew Bass</t>
  </si>
  <si>
    <t>Jasmine Lopez</t>
  </si>
  <si>
    <t>Melissa Peck</t>
  </si>
  <si>
    <t>Stephen Cordova</t>
  </si>
  <si>
    <t>Logan Wall</t>
  </si>
  <si>
    <t>Amy Reed</t>
  </si>
  <si>
    <t>Tyler Norris</t>
  </si>
  <si>
    <t>Angela Turner</t>
  </si>
  <si>
    <t>Tammy Miller</t>
  </si>
  <si>
    <t>Joe Hill</t>
  </si>
  <si>
    <t>Elizabeth Smith</t>
  </si>
  <si>
    <t>Nicole Jones</t>
  </si>
  <si>
    <t>Whitney Herring</t>
  </si>
  <si>
    <t>Steven Fisher</t>
  </si>
  <si>
    <t>Stacy Villegas</t>
  </si>
  <si>
    <t>Thomas Boyer</t>
  </si>
  <si>
    <t>James Wise</t>
  </si>
  <si>
    <t>Jim Tran</t>
  </si>
  <si>
    <t>Steven Martin</t>
  </si>
  <si>
    <t>Lonnie Harmon</t>
  </si>
  <si>
    <t>Karen Boone</t>
  </si>
  <si>
    <t>Sean Jordan</t>
  </si>
  <si>
    <t>John Mack</t>
  </si>
  <si>
    <t>Willie Anderson</t>
  </si>
  <si>
    <t>Dustin Silva</t>
  </si>
  <si>
    <t>Karen Atkins</t>
  </si>
  <si>
    <t>Crystal Harris</t>
  </si>
  <si>
    <t>James Murphy</t>
  </si>
  <si>
    <t>Ashley Crawford</t>
  </si>
  <si>
    <t>Nicole Ellison</t>
  </si>
  <si>
    <t>Sandra Burns</t>
  </si>
  <si>
    <t>Robert Martin</t>
  </si>
  <si>
    <t>Victor Delacruz</t>
  </si>
  <si>
    <t>Willie Brown</t>
  </si>
  <si>
    <t>Ryan Watson</t>
  </si>
  <si>
    <t>Grace Kennedy</t>
  </si>
  <si>
    <t>Gabriela Keller</t>
  </si>
  <si>
    <t>Juan Smith</t>
  </si>
  <si>
    <t>Sara Larson</t>
  </si>
  <si>
    <t>Joshua Smith</t>
  </si>
  <si>
    <t>Dennis Owens</t>
  </si>
  <si>
    <t>Kristin Ross</t>
  </si>
  <si>
    <t>James Trevino</t>
  </si>
  <si>
    <t>Anthony Roberts</t>
  </si>
  <si>
    <t>Cory Lee</t>
  </si>
  <si>
    <t>Shane Sanders</t>
  </si>
  <si>
    <t>Chloe Shepard</t>
  </si>
  <si>
    <t>Breanna Cline</t>
  </si>
  <si>
    <t>Kara Lewis</t>
  </si>
  <si>
    <t>Anthony Tate</t>
  </si>
  <si>
    <t>Kelly Garcia</t>
  </si>
  <si>
    <t>Kelsey Clark</t>
  </si>
  <si>
    <t>Susan English</t>
  </si>
  <si>
    <t>Marcia Reed</t>
  </si>
  <si>
    <t>Tyler Mann</t>
  </si>
  <si>
    <t>Kendra Nguyen</t>
  </si>
  <si>
    <t>Laura Torres</t>
  </si>
  <si>
    <t>Luis Douglas</t>
  </si>
  <si>
    <t>Renee Todd</t>
  </si>
  <si>
    <t>Kristen Wilson</t>
  </si>
  <si>
    <t>Johnny Wood</t>
  </si>
  <si>
    <t>Megan Freeman</t>
  </si>
  <si>
    <t>Regina Flores</t>
  </si>
  <si>
    <t>Laura Colon</t>
  </si>
  <si>
    <t>Christopher Rios</t>
  </si>
  <si>
    <t>John Malone</t>
  </si>
  <si>
    <t>Luis Ramos</t>
  </si>
  <si>
    <t>Luis Conway</t>
  </si>
  <si>
    <t>Diana Moore</t>
  </si>
  <si>
    <t>Jenna Scott</t>
  </si>
  <si>
    <t>Anthony Fowler</t>
  </si>
  <si>
    <t>Emily Roy</t>
  </si>
  <si>
    <t>Daniel Weaver</t>
  </si>
  <si>
    <t>Megan Leon</t>
  </si>
  <si>
    <t>Jessica Maynard</t>
  </si>
  <si>
    <t>Andrea Patterson</t>
  </si>
  <si>
    <t>Paul Cruz</t>
  </si>
  <si>
    <t>Aaron Bond</t>
  </si>
  <si>
    <t>George Acosta</t>
  </si>
  <si>
    <t>Alan Silva</t>
  </si>
  <si>
    <t>Stephen Ramirez</t>
  </si>
  <si>
    <t>Matthew Martin</t>
  </si>
  <si>
    <t>Ashley Ruiz</t>
  </si>
  <si>
    <t>Patrick White</t>
  </si>
  <si>
    <t>Yvonne Callahan</t>
  </si>
  <si>
    <t>Carrie Chang</t>
  </si>
  <si>
    <t>Pamela Leach</t>
  </si>
  <si>
    <t>Omar Welch</t>
  </si>
  <si>
    <t>Gabriel Sanchez</t>
  </si>
  <si>
    <t>Marc Harris</t>
  </si>
  <si>
    <t>Donna Dunn</t>
  </si>
  <si>
    <t>Stanley Whitney</t>
  </si>
  <si>
    <t>Traci Carter</t>
  </si>
  <si>
    <t>John Caldwell</t>
  </si>
  <si>
    <t>Tasha Wilson</t>
  </si>
  <si>
    <t>Candace Clayton</t>
  </si>
  <si>
    <t>Catherine Norman</t>
  </si>
  <si>
    <t>Suzanne Brewer</t>
  </si>
  <si>
    <t>Robert Wagner</t>
  </si>
  <si>
    <t>Bradley Zimmerman</t>
  </si>
  <si>
    <t>Anthony Holland</t>
  </si>
  <si>
    <t>Glen Gibson</t>
  </si>
  <si>
    <t>Marvin Harvey</t>
  </si>
  <si>
    <t>Larry Brown</t>
  </si>
  <si>
    <t>Mark Jones</t>
  </si>
  <si>
    <t>Emily Schultz</t>
  </si>
  <si>
    <t>Adrian Martinez</t>
  </si>
  <si>
    <t>Nancy Dixon</t>
  </si>
  <si>
    <t>Ruben Davenport</t>
  </si>
  <si>
    <t>Natalie Wilson</t>
  </si>
  <si>
    <t>Mary Mason</t>
  </si>
  <si>
    <t>Gary Payne</t>
  </si>
  <si>
    <t>Elizabeth Bernard</t>
  </si>
  <si>
    <t>Joel Chambers</t>
  </si>
  <si>
    <t>Anthony Smith</t>
  </si>
  <si>
    <t>Ann Taylor</t>
  </si>
  <si>
    <t>Jason Chan</t>
  </si>
  <si>
    <t>Tiffany Duke</t>
  </si>
  <si>
    <t>Laura White</t>
  </si>
  <si>
    <t>Susan Edwards</t>
  </si>
  <si>
    <t>Kathy Anderson</t>
  </si>
  <si>
    <t>Kim Thompson</t>
  </si>
  <si>
    <t>Sean Houston</t>
  </si>
  <si>
    <t>Patricia Leblanc</t>
  </si>
  <si>
    <t>Roberto Ward</t>
  </si>
  <si>
    <t>Paul Richardson</t>
  </si>
  <si>
    <t>Jason Pratt</t>
  </si>
  <si>
    <t>Anthony Hansen</t>
  </si>
  <si>
    <t>Michelle Myers</t>
  </si>
  <si>
    <t>Heather Wilson</t>
  </si>
  <si>
    <t>Traci Rogers</t>
  </si>
  <si>
    <t>Robert Cline</t>
  </si>
  <si>
    <t>Jeff Acosta</t>
  </si>
  <si>
    <t>Jeffrey Long</t>
  </si>
  <si>
    <t>Ashley Moore</t>
  </si>
  <si>
    <t>Debra Kaufman</t>
  </si>
  <si>
    <t>Alan Wilson</t>
  </si>
  <si>
    <t>Louis Morris</t>
  </si>
  <si>
    <t>James Young</t>
  </si>
  <si>
    <t>Tina Farley</t>
  </si>
  <si>
    <t>Dana Murillo</t>
  </si>
  <si>
    <t>Ronnie Smith</t>
  </si>
  <si>
    <t>Justin Daniels</t>
  </si>
  <si>
    <t>Joseph Edwards</t>
  </si>
  <si>
    <t>Michael Schroeder</t>
  </si>
  <si>
    <t>Garrett Cherry</t>
  </si>
  <si>
    <t>Arthur Mccarthy</t>
  </si>
  <si>
    <t>Veronica Chaney</t>
  </si>
  <si>
    <t>Cathy Hill</t>
  </si>
  <si>
    <t>Jason Costa</t>
  </si>
  <si>
    <t>Paul Duncan</t>
  </si>
  <si>
    <t>Manuel Smith</t>
  </si>
  <si>
    <t>Julie Hahn</t>
  </si>
  <si>
    <t>Darren Wood</t>
  </si>
  <si>
    <t>Tyler Castro</t>
  </si>
  <si>
    <t>Amanda Hicks</t>
  </si>
  <si>
    <t>George Cox</t>
  </si>
  <si>
    <t>Justin Smith</t>
  </si>
  <si>
    <t>Vernon Cooke</t>
  </si>
  <si>
    <t>Tony Ramirez</t>
  </si>
  <si>
    <t>Anthony Esparza</t>
  </si>
  <si>
    <t>Frederick Valenzuela</t>
  </si>
  <si>
    <t>Katherine Gonzalez</t>
  </si>
  <si>
    <t>Keith Price</t>
  </si>
  <si>
    <t>Angela Gillespie</t>
  </si>
  <si>
    <t>Natalie Valencia</t>
  </si>
  <si>
    <t>Lawrence Richardson</t>
  </si>
  <si>
    <t>Brooke Wheeler</t>
  </si>
  <si>
    <t>Michael Davis</t>
  </si>
  <si>
    <t>Susan Martin</t>
  </si>
  <si>
    <t>Patricia Dickson</t>
  </si>
  <si>
    <t>Jay Mcbride</t>
  </si>
  <si>
    <t>Ashley Jones</t>
  </si>
  <si>
    <t>Matthew Andrews</t>
  </si>
  <si>
    <t>Kevin Murphy</t>
  </si>
  <si>
    <t>Shaun Weaver</t>
  </si>
  <si>
    <t>Kimberly Ramirez</t>
  </si>
  <si>
    <t>Cheryl Martinez</t>
  </si>
  <si>
    <t>Paul Wells</t>
  </si>
  <si>
    <t>Shawn Kerr</t>
  </si>
  <si>
    <t>Kevin Wise</t>
  </si>
  <si>
    <t>Samuel Horn</t>
  </si>
  <si>
    <t>Christina Harris</t>
  </si>
  <si>
    <t>Caitlin Harrison</t>
  </si>
  <si>
    <t>Erin Perez</t>
  </si>
  <si>
    <t>Michael Johnson</t>
  </si>
  <si>
    <t>Donna Nelson</t>
  </si>
  <si>
    <t>Nicole Osborne</t>
  </si>
  <si>
    <t>Kathleen Pugh</t>
  </si>
  <si>
    <t>Christopher Mendoza</t>
  </si>
  <si>
    <t>Chloe Matthews</t>
  </si>
  <si>
    <t>Brent Montes</t>
  </si>
  <si>
    <t>Brittany Lopez</t>
  </si>
  <si>
    <t>Patrick Butler</t>
  </si>
  <si>
    <t>Brianna White</t>
  </si>
  <si>
    <t>Brandon Sullivan</t>
  </si>
  <si>
    <t>Sarah Johnson</t>
  </si>
  <si>
    <t>Connor Callahan</t>
  </si>
  <si>
    <t>Elizabeth Cohen</t>
  </si>
  <si>
    <t>Lindsay Ramirez</t>
  </si>
  <si>
    <t>Teresa Taylor</t>
  </si>
  <si>
    <t>William Ortega</t>
  </si>
  <si>
    <t>Bobby Turner</t>
  </si>
  <si>
    <t>Kristin Martinez</t>
  </si>
  <si>
    <t>Lauren Hood</t>
  </si>
  <si>
    <t>Cheryl Odonnell</t>
  </si>
  <si>
    <t>Susan Fuller</t>
  </si>
  <si>
    <t>Robert Robinson</t>
  </si>
  <si>
    <t>Connor Lucas</t>
  </si>
  <si>
    <t>Brian Ryan</t>
  </si>
  <si>
    <t>Jeff Davis</t>
  </si>
  <si>
    <t>Melissa Arellano</t>
  </si>
  <si>
    <t>Amber Harris</t>
  </si>
  <si>
    <t>Kimberly Johnson</t>
  </si>
  <si>
    <t>Michelle Wells</t>
  </si>
  <si>
    <t>Richard Miller</t>
  </si>
  <si>
    <t>Brandy Bradley</t>
  </si>
  <si>
    <t>Isabella Marks</t>
  </si>
  <si>
    <t>Erica Peters</t>
  </si>
  <si>
    <t>Jill George</t>
  </si>
  <si>
    <t>Haley Holden</t>
  </si>
  <si>
    <t>Amanda Harris</t>
  </si>
  <si>
    <t>Kenneth Brown</t>
  </si>
  <si>
    <t>Justin Hahn</t>
  </si>
  <si>
    <t>Gary Johnson</t>
  </si>
  <si>
    <t>Michele Allison</t>
  </si>
  <si>
    <t>Ryan Gordon</t>
  </si>
  <si>
    <t>Tony Stone</t>
  </si>
  <si>
    <t>Steven Clark</t>
  </si>
  <si>
    <t>Amber Stevens</t>
  </si>
  <si>
    <t>James Holmes</t>
  </si>
  <si>
    <t>Jodi Owens</t>
  </si>
  <si>
    <t>Jessica Kirk</t>
  </si>
  <si>
    <t>Jessica Thompson</t>
  </si>
  <si>
    <t>Ashley Weaver</t>
  </si>
  <si>
    <t>Timothy Baker</t>
  </si>
  <si>
    <t>Nancy Larsen</t>
  </si>
  <si>
    <t>Kevin Crosby</t>
  </si>
  <si>
    <t>Tommy Baker</t>
  </si>
  <si>
    <t>David Ramirez</t>
  </si>
  <si>
    <t>William Stephens</t>
  </si>
  <si>
    <t>Tracy Palmer</t>
  </si>
  <si>
    <t>Marc Greene</t>
  </si>
  <si>
    <t>Michael Bailey</t>
  </si>
  <si>
    <t>James Ortega</t>
  </si>
  <si>
    <t>Jennifer Wiley</t>
  </si>
  <si>
    <t>Melissa Neal</t>
  </si>
  <si>
    <t>Timothy Wright</t>
  </si>
  <si>
    <t>Deborah Sexton</t>
  </si>
  <si>
    <t>Alyssa Miller</t>
  </si>
  <si>
    <t>Rebecca Diaz</t>
  </si>
  <si>
    <t>Sara Villa</t>
  </si>
  <si>
    <t>Joseph Robinson</t>
  </si>
  <si>
    <t>Amy Guzman</t>
  </si>
  <si>
    <t>Samantha Williams</t>
  </si>
  <si>
    <t>Adam Jones</t>
  </si>
  <si>
    <t>Lori Hoffman</t>
  </si>
  <si>
    <t>John Walker</t>
  </si>
  <si>
    <t>Jonathan Black</t>
  </si>
  <si>
    <t>Kristina Lawrence</t>
  </si>
  <si>
    <t>Ashley Mckee</t>
  </si>
  <si>
    <t>Morgan Hoffman</t>
  </si>
  <si>
    <t>Andrew Holmes</t>
  </si>
  <si>
    <t>Lisa Gonzalez</t>
  </si>
  <si>
    <t>Lisa Smith</t>
  </si>
  <si>
    <t>Alejandra Mullins</t>
  </si>
  <si>
    <t>Amy Ward</t>
  </si>
  <si>
    <t>Kimberly Jones</t>
  </si>
  <si>
    <t>Dennis Eaton</t>
  </si>
  <si>
    <t>Stephen Edwards</t>
  </si>
  <si>
    <t>Emily Wright</t>
  </si>
  <si>
    <t>Danielle Parker</t>
  </si>
  <si>
    <t>Renee Johnson</t>
  </si>
  <si>
    <t>Thomas Schmidt</t>
  </si>
  <si>
    <t>Trevor Gill</t>
  </si>
  <si>
    <t>Jordan Arnold</t>
  </si>
  <si>
    <t>Marie Hurley</t>
  </si>
  <si>
    <t>Victoria James</t>
  </si>
  <si>
    <t>Brandon Woodard</t>
  </si>
  <si>
    <t>Margaret Bennett</t>
  </si>
  <si>
    <t>Scott Lambert</t>
  </si>
  <si>
    <t>Paul Baldwin</t>
  </si>
  <si>
    <t>Megan Jackson</t>
  </si>
  <si>
    <t>Jeremy Baldwin</t>
  </si>
  <si>
    <t>Veronica Shelton</t>
  </si>
  <si>
    <t>Debra Weaver</t>
  </si>
  <si>
    <t>William Lawrence</t>
  </si>
  <si>
    <t>Kayla Mcconnell</t>
  </si>
  <si>
    <t>Robin Miranda</t>
  </si>
  <si>
    <t>Zachary Martinez</t>
  </si>
  <si>
    <t>Denise Henderson</t>
  </si>
  <si>
    <t>Linda Gould</t>
  </si>
  <si>
    <t>Jessica Johnson</t>
  </si>
  <si>
    <t>Rachel Bauer</t>
  </si>
  <si>
    <t>Michele Moss</t>
  </si>
  <si>
    <t>William Blackwell</t>
  </si>
  <si>
    <t>Antonio Underwood</t>
  </si>
  <si>
    <t>Gerald Gonzalez</t>
  </si>
  <si>
    <t>Garrett Guerra</t>
  </si>
  <si>
    <t>John Garcia</t>
  </si>
  <si>
    <t>Jeffrey Mathews</t>
  </si>
  <si>
    <t>Samantha Banks</t>
  </si>
  <si>
    <t>Kaitlin Romero</t>
  </si>
  <si>
    <t>Brad Davis</t>
  </si>
  <si>
    <t>Crystal Foster</t>
  </si>
  <si>
    <t>Amanda Mays</t>
  </si>
  <si>
    <t>Tonya Miller</t>
  </si>
  <si>
    <t>Jeffrey Martinez</t>
  </si>
  <si>
    <t>Daniel Knight</t>
  </si>
  <si>
    <t>Heather Alvarado</t>
  </si>
  <si>
    <t>Vanessa Williams</t>
  </si>
  <si>
    <t>Alexandra Wilson</t>
  </si>
  <si>
    <t>Zachary Merritt</t>
  </si>
  <si>
    <t>Deanna West</t>
  </si>
  <si>
    <t>Victoria Fisher</t>
  </si>
  <si>
    <t>Sarah Wilson</t>
  </si>
  <si>
    <t>Kathryn Richmond</t>
  </si>
  <si>
    <t>Brittney Villa</t>
  </si>
  <si>
    <t>Christopher Jackson</t>
  </si>
  <si>
    <t>Nicole Sutton</t>
  </si>
  <si>
    <t>Warren Thomas</t>
  </si>
  <si>
    <t>Jeremiah Becker</t>
  </si>
  <si>
    <t>Carrie Hunter</t>
  </si>
  <si>
    <t>Brittany Serrano</t>
  </si>
  <si>
    <t>William Edwards</t>
  </si>
  <si>
    <t>John Foster</t>
  </si>
  <si>
    <t>Xavier Evans</t>
  </si>
  <si>
    <t>Victoria Powers</t>
  </si>
  <si>
    <t>Roberto Brewer</t>
  </si>
  <si>
    <t>Kyle Gibson</t>
  </si>
  <si>
    <t>Brian Martinez</t>
  </si>
  <si>
    <t>Debra Bowen</t>
  </si>
  <si>
    <t>Megan King</t>
  </si>
  <si>
    <t>Casey Miranda</t>
  </si>
  <si>
    <t>Hector Murphy</t>
  </si>
  <si>
    <t>Savannah Blackwell</t>
  </si>
  <si>
    <t>Diane Oconnor</t>
  </si>
  <si>
    <t>Anthony Garner</t>
  </si>
  <si>
    <t>Molly Smith</t>
  </si>
  <si>
    <t>Amanda Jackson</t>
  </si>
  <si>
    <t>Christian Randolph</t>
  </si>
  <si>
    <t>Jason Mcdonald</t>
  </si>
  <si>
    <t>Linda York</t>
  </si>
  <si>
    <t>Brittany Williams</t>
  </si>
  <si>
    <t>Alan Wilkinson</t>
  </si>
  <si>
    <t>Thomas Williams</t>
  </si>
  <si>
    <t>Diana Thompson</t>
  </si>
  <si>
    <t>Barbara Gomez</t>
  </si>
  <si>
    <t>Alexander Mitchell</t>
  </si>
  <si>
    <t>Henry French</t>
  </si>
  <si>
    <t>Shawn Powell</t>
  </si>
  <si>
    <t>Andrew Mcdaniel</t>
  </si>
  <si>
    <t>Destiny Gonzalez</t>
  </si>
  <si>
    <t>Mary Brown</t>
  </si>
  <si>
    <t>Allison Garcia</t>
  </si>
  <si>
    <t>Paul Gomez</t>
  </si>
  <si>
    <t>Marie Brown</t>
  </si>
  <si>
    <t>Stephen Collins</t>
  </si>
  <si>
    <t>Taylor Dominguez</t>
  </si>
  <si>
    <t>Sergio Rivera</t>
  </si>
  <si>
    <t>Jesse Patrick</t>
  </si>
  <si>
    <t>David Kennedy</t>
  </si>
  <si>
    <t>George Robinson</t>
  </si>
  <si>
    <t>Kendra Parrish</t>
  </si>
  <si>
    <t>Carolyn Rosales</t>
  </si>
  <si>
    <t>Jessica Ross</t>
  </si>
  <si>
    <t>Christian Smith</t>
  </si>
  <si>
    <t>Dana White</t>
  </si>
  <si>
    <t>John Zimmerman</t>
  </si>
  <si>
    <t>David Rodgers</t>
  </si>
  <si>
    <t>Susan Cox</t>
  </si>
  <si>
    <t>John Taylor</t>
  </si>
  <si>
    <t>Sarah Murray</t>
  </si>
  <si>
    <t>Candace Jenkins</t>
  </si>
  <si>
    <t>Matthew Roberts</t>
  </si>
  <si>
    <t>Lauren Macias</t>
  </si>
  <si>
    <t>Christina Gomez</t>
  </si>
  <si>
    <t>Kimberly Ball</t>
  </si>
  <si>
    <t>Michael Williams</t>
  </si>
  <si>
    <t>Laura Ho</t>
  </si>
  <si>
    <t>April Webster</t>
  </si>
  <si>
    <t>Victoria Austin</t>
  </si>
  <si>
    <t>Rachel Hernandez</t>
  </si>
  <si>
    <t>Jared Newman</t>
  </si>
  <si>
    <t>Brittany Harris</t>
  </si>
  <si>
    <t>William Long</t>
  </si>
  <si>
    <t>Martha Shannon</t>
  </si>
  <si>
    <t>Kristopher Mays</t>
  </si>
  <si>
    <t>Jillian Webb</t>
  </si>
  <si>
    <t>Samuel Mitchell</t>
  </si>
  <si>
    <t>Elizabeth Cortez</t>
  </si>
  <si>
    <t>Thomas Tucker</t>
  </si>
  <si>
    <t>Roger Holt</t>
  </si>
  <si>
    <t>Regina Wilson</t>
  </si>
  <si>
    <t>Alexander Hernandez</t>
  </si>
  <si>
    <t>Christopher Benjamin</t>
  </si>
  <si>
    <t>Renee Meadows</t>
  </si>
  <si>
    <t>Alexandria Barker</t>
  </si>
  <si>
    <t>Matthew Trevino</t>
  </si>
  <si>
    <t>Cameron Welch</t>
  </si>
  <si>
    <t>Timothy Alvarez</t>
  </si>
  <si>
    <t>William Francis</t>
  </si>
  <si>
    <t>Julie Blake</t>
  </si>
  <si>
    <t>Franklin Marsh</t>
  </si>
  <si>
    <t>Jesus Garcia</t>
  </si>
  <si>
    <t>Alyssa Brewer</t>
  </si>
  <si>
    <t>Brittany Miller</t>
  </si>
  <si>
    <t>Jessica Hess</t>
  </si>
  <si>
    <t>David Cline</t>
  </si>
  <si>
    <t>Mark Taylor</t>
  </si>
  <si>
    <t>Erin Skinner</t>
  </si>
  <si>
    <t>Christopher Pope</t>
  </si>
  <si>
    <t>Mackenzie Davidson</t>
  </si>
  <si>
    <t>Sandra Boyd</t>
  </si>
  <si>
    <t>Daniel Hayes</t>
  </si>
  <si>
    <t>Samuel Norris</t>
  </si>
  <si>
    <t>Nicole Mccann</t>
  </si>
  <si>
    <t>Charles Roberts</t>
  </si>
  <si>
    <t>Gloria Kelley</t>
  </si>
  <si>
    <t>Mark Cardenas</t>
  </si>
  <si>
    <t>Gregory Daniel</t>
  </si>
  <si>
    <t>Ruth Peterson</t>
  </si>
  <si>
    <t>Linda Carlson</t>
  </si>
  <si>
    <t>April Taylor</t>
  </si>
  <si>
    <t>Carolyn Fisher</t>
  </si>
  <si>
    <t>Alexandra Smith</t>
  </si>
  <si>
    <t>Patricia Norris</t>
  </si>
  <si>
    <t>Andrew Williams</t>
  </si>
  <si>
    <t>Joshua Hall</t>
  </si>
  <si>
    <t>Matthew Young</t>
  </si>
  <si>
    <t>Jason Lewis</t>
  </si>
  <si>
    <t>Richard Johnson</t>
  </si>
  <si>
    <t>Tracy Davis</t>
  </si>
  <si>
    <t>Alexis Duncan</t>
  </si>
  <si>
    <t>Zachary Ferguson</t>
  </si>
  <si>
    <t>Daniel Walker</t>
  </si>
  <si>
    <t>Nathan White</t>
  </si>
  <si>
    <t>Brenda Simmons</t>
  </si>
  <si>
    <t>Hannah Hernandez</t>
  </si>
  <si>
    <t>Brian Little</t>
  </si>
  <si>
    <t>Eric Rhodes</t>
  </si>
  <si>
    <t>Unknown</t>
  </si>
  <si>
    <t>Row Labels</t>
  </si>
  <si>
    <t>Grand Total</t>
  </si>
  <si>
    <t>Account Balance2</t>
  </si>
  <si>
    <t>Sum of Account Balance</t>
  </si>
  <si>
    <t>Count of Customer_ID</t>
  </si>
  <si>
    <t>Sum of Loan Amount</t>
  </si>
  <si>
    <t>Sum of Monthly Income</t>
  </si>
  <si>
    <t>Income Category</t>
  </si>
  <si>
    <t>Medium Income</t>
  </si>
  <si>
    <t>High Income</t>
  </si>
  <si>
    <t>Low Income</t>
  </si>
  <si>
    <t>Age Group</t>
  </si>
  <si>
    <t>Senior</t>
  </si>
  <si>
    <t>Middle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</si>
</sst>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ashbalan" refreshedDate="46162.770370949074" createdVersion="8" refreshedVersion="8" minRefreshableVersion="3" recordCount="500" xr:uid="{2B9612D8-0740-4A55-860B-4690DD87460F}">
  <cacheSource type="worksheet">
    <worksheetSource name="Table2"/>
  </cacheSource>
  <cacheFields count="10">
    <cacheField name="Customer_ID" numFmtId="0">
      <sharedItems/>
    </cacheField>
    <cacheField name="Name" numFmtId="0">
      <sharedItems/>
    </cacheField>
    <cacheField name="City" numFmtId="0">
      <sharedItems count="5">
        <s v="Trichy"/>
        <s v="Salem"/>
        <s v="Coimbatore"/>
        <s v="Chennai"/>
        <s v="Madurai"/>
      </sharedItems>
    </cacheField>
    <cacheField name="Age" numFmtId="0">
      <sharedItems containsSemiMixedTypes="0" containsString="0" containsNumber="1" minValue="21" maxValue="59"/>
    </cacheField>
    <cacheField name="Gender" numFmtId="0">
      <sharedItems count="3">
        <s v="Female"/>
        <s v="Male"/>
        <s v="Unknown"/>
      </sharedItems>
    </cacheField>
    <cacheField name="Account Balance" numFmtId="164">
      <sharedItems containsSemiMixedTypes="0" containsString="0" containsNumber="1" minValue="1348" maxValue="499776"/>
    </cacheField>
    <cacheField name="Loan Amount" numFmtId="164">
      <sharedItems containsSemiMixedTypes="0" containsString="0" containsNumber="1" minValue="9" maxValue="297858"/>
    </cacheField>
    <cacheField name="Monthly Income" numFmtId="164">
      <sharedItems containsSemiMixedTypes="0" containsString="0" containsNumber="1" containsInteger="1" minValue="10020" maxValue="149188"/>
    </cacheField>
    <cacheField name="Account Type" numFmtId="0">
      <sharedItems count="3">
        <s v="Savings"/>
        <s v="Current"/>
        <s v="Salary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01"/>
    <s v="Ellen Young"/>
    <x v="0"/>
    <n v="27"/>
    <x v="0"/>
    <n v="173251"/>
    <n v="201954"/>
    <n v="60097"/>
    <x v="0"/>
    <s v="Active"/>
  </r>
  <r>
    <s v="CUST0002"/>
    <s v="Mark Watson"/>
    <x v="1"/>
    <n v="22"/>
    <x v="0"/>
    <n v="290970"/>
    <n v="230892"/>
    <n v="84539"/>
    <x v="1"/>
    <s v="Inactive"/>
  </r>
  <r>
    <s v="CUST0003"/>
    <s v="Jennifer Daniels"/>
    <x v="1"/>
    <n v="59"/>
    <x v="1"/>
    <n v="154393"/>
    <n v="46687"/>
    <n v="129825"/>
    <x v="1"/>
    <s v="Active"/>
  </r>
  <r>
    <s v="CUST0004"/>
    <s v="Karen Jordan"/>
    <x v="1"/>
    <n v="53"/>
    <x v="1"/>
    <n v="407998"/>
    <n v="229123"/>
    <n v="33489"/>
    <x v="2"/>
    <s v="Inactive"/>
  </r>
  <r>
    <s v="CUST0005"/>
    <s v="Ryan Ford"/>
    <x v="0"/>
    <n v="48"/>
    <x v="0"/>
    <n v="252076.51219512196"/>
    <n v="82629"/>
    <n v="36790"/>
    <x v="2"/>
    <s v="Active"/>
  </r>
  <r>
    <s v="CUST0006"/>
    <s v="Alexis Roy"/>
    <x v="0"/>
    <n v="39"/>
    <x v="1"/>
    <n v="393546"/>
    <n v="282820"/>
    <n v="60204"/>
    <x v="2"/>
    <s v="Active"/>
  </r>
  <r>
    <s v="CUST0007"/>
    <s v="Jonathon Wright"/>
    <x v="2"/>
    <n v="40"/>
    <x v="1"/>
    <n v="277326"/>
    <n v="202534"/>
    <n v="63511"/>
    <x v="2"/>
    <s v="Inactive"/>
  </r>
  <r>
    <s v="CUST0008"/>
    <s v="Kevin Daniel"/>
    <x v="3"/>
    <n v="31"/>
    <x v="0"/>
    <n v="409932"/>
    <n v="209949"/>
    <n v="17760"/>
    <x v="1"/>
    <s v="Active"/>
  </r>
  <r>
    <s v="CUST0009"/>
    <s v="Aaron Carpenter"/>
    <x v="0"/>
    <n v="47"/>
    <x v="1"/>
    <n v="468043"/>
    <n v="123836"/>
    <n v="101261"/>
    <x v="0"/>
    <s v="Active"/>
  </r>
  <r>
    <s v="CUST0010"/>
    <s v="Brittany Anderson"/>
    <x v="2"/>
    <n v="45"/>
    <x v="1"/>
    <n v="328320"/>
    <n v="171683"/>
    <n v="115464"/>
    <x v="0"/>
    <s v="Inactive"/>
  </r>
  <r>
    <s v="CUST0011"/>
    <s v="Jose Carson"/>
    <x v="4"/>
    <n v="57"/>
    <x v="1"/>
    <n v="311372"/>
    <n v="251677"/>
    <n v="47473"/>
    <x v="0"/>
    <s v="Active"/>
  </r>
  <r>
    <s v="CUST0012"/>
    <s v="Christopher Smith"/>
    <x v="2"/>
    <n v="38"/>
    <x v="1"/>
    <n v="37657"/>
    <n v="146719"/>
    <n v="147344"/>
    <x v="1"/>
    <s v="Inactive"/>
  </r>
  <r>
    <s v="CUST0013"/>
    <s v="Brent Robbins"/>
    <x v="2"/>
    <n v="57"/>
    <x v="0"/>
    <n v="252076.51219512196"/>
    <n v="97461"/>
    <n v="80848"/>
    <x v="1"/>
    <s v="Active"/>
  </r>
  <r>
    <s v="CUST0014"/>
    <s v="Benjamin Alvarez"/>
    <x v="1"/>
    <n v="34"/>
    <x v="0"/>
    <n v="235791"/>
    <n v="49290"/>
    <n v="24861"/>
    <x v="1"/>
    <s v="Inactive"/>
  </r>
  <r>
    <s v="CUST0015"/>
    <s v="Kenneth Barker"/>
    <x v="2"/>
    <n v="34"/>
    <x v="1"/>
    <n v="142325"/>
    <n v="119346"/>
    <n v="63943"/>
    <x v="0"/>
    <s v="Active"/>
  </r>
  <r>
    <s v="CUST0016"/>
    <s v="Nathan Humphrey"/>
    <x v="2"/>
    <n v="25"/>
    <x v="0"/>
    <n v="183534"/>
    <n v="37832"/>
    <n v="82064"/>
    <x v="2"/>
    <s v="Inactive"/>
  </r>
  <r>
    <s v="CUST0017"/>
    <s v="Rodney Mueller"/>
    <x v="1"/>
    <n v="39"/>
    <x v="2"/>
    <n v="378588"/>
    <n v="4870"/>
    <n v="147525"/>
    <x v="0"/>
    <s v="Active"/>
  </r>
  <r>
    <s v="CUST0018"/>
    <s v="John Williamson"/>
    <x v="3"/>
    <n v="32"/>
    <x v="0"/>
    <n v="109396"/>
    <n v="24146"/>
    <n v="84605"/>
    <x v="0"/>
    <s v="Inactive"/>
  </r>
  <r>
    <s v="CUST0019"/>
    <s v="Alexis Collins"/>
    <x v="4"/>
    <n v="58"/>
    <x v="0"/>
    <n v="366989"/>
    <n v="66345"/>
    <n v="93738"/>
    <x v="0"/>
    <s v="Inactive"/>
  </r>
  <r>
    <s v="CUST0020"/>
    <s v="Dustin Garcia"/>
    <x v="3"/>
    <n v="29"/>
    <x v="0"/>
    <n v="28089"/>
    <n v="105962"/>
    <n v="89657"/>
    <x v="0"/>
    <s v="Inactive"/>
  </r>
  <r>
    <s v="CUST0021"/>
    <s v="Raymond Brown"/>
    <x v="0"/>
    <n v="24"/>
    <x v="1"/>
    <n v="464120"/>
    <n v="255109"/>
    <n v="49534"/>
    <x v="1"/>
    <s v="Inactive"/>
  </r>
  <r>
    <s v="CUST0022"/>
    <s v="Latoya White"/>
    <x v="1"/>
    <n v="52"/>
    <x v="0"/>
    <n v="242645"/>
    <n v="215764"/>
    <n v="119723"/>
    <x v="2"/>
    <s v="Active"/>
  </r>
  <r>
    <s v="CUST0023"/>
    <s v="Kelsey Castillo"/>
    <x v="1"/>
    <n v="27"/>
    <x v="0"/>
    <n v="96931"/>
    <n v="212684"/>
    <n v="72262"/>
    <x v="2"/>
    <s v="Active"/>
  </r>
  <r>
    <s v="CUST0024"/>
    <s v="Allison Wang"/>
    <x v="0"/>
    <n v="31"/>
    <x v="0"/>
    <n v="252076.51219512196"/>
    <n v="22589"/>
    <n v="96065"/>
    <x v="2"/>
    <s v="Inactive"/>
  </r>
  <r>
    <s v="CUST0025"/>
    <s v="Theresa Crosby"/>
    <x v="4"/>
    <n v="40"/>
    <x v="0"/>
    <n v="376023"/>
    <n v="125661"/>
    <n v="17897"/>
    <x v="0"/>
    <s v="Active"/>
  </r>
  <r>
    <s v="CUST0026"/>
    <s v="Katelyn Ramirez"/>
    <x v="3"/>
    <n v="37"/>
    <x v="0"/>
    <n v="240960"/>
    <n v="87899"/>
    <n v="73114"/>
    <x v="2"/>
    <s v="Inactive"/>
  </r>
  <r>
    <s v="CUST0027"/>
    <s v="Marc Newman"/>
    <x v="0"/>
    <n v="32"/>
    <x v="0"/>
    <n v="370808"/>
    <n v="214420"/>
    <n v="97047"/>
    <x v="0"/>
    <s v="Inactive"/>
  </r>
  <r>
    <s v="CUST0028"/>
    <s v="Renee Dunn"/>
    <x v="0"/>
    <n v="38"/>
    <x v="0"/>
    <n v="288932"/>
    <n v="169820"/>
    <n v="104449"/>
    <x v="1"/>
    <s v="Inactive"/>
  </r>
  <r>
    <s v="CUST0029"/>
    <s v="David Myers"/>
    <x v="2"/>
    <n v="27"/>
    <x v="0"/>
    <n v="229111"/>
    <n v="162228"/>
    <n v="46648"/>
    <x v="2"/>
    <s v="Inactive"/>
  </r>
  <r>
    <s v="CUST0030"/>
    <s v="Thomas Hill"/>
    <x v="4"/>
    <n v="22"/>
    <x v="0"/>
    <n v="327115"/>
    <n v="105929"/>
    <n v="117263"/>
    <x v="2"/>
    <s v="Active"/>
  </r>
  <r>
    <s v="CUST0031"/>
    <s v="Kenneth Meadows"/>
    <x v="1"/>
    <n v="45"/>
    <x v="0"/>
    <n v="369852"/>
    <n v="147676.125"/>
    <n v="63444"/>
    <x v="1"/>
    <s v="Active"/>
  </r>
  <r>
    <s v="CUST0032"/>
    <s v="Michael Mccoy"/>
    <x v="2"/>
    <n v="28"/>
    <x v="0"/>
    <n v="31862"/>
    <n v="264712"/>
    <n v="89071"/>
    <x v="1"/>
    <s v="Active"/>
  </r>
  <r>
    <s v="CUST0033"/>
    <s v="Jason Crosby"/>
    <x v="0"/>
    <n v="59"/>
    <x v="0"/>
    <n v="157366"/>
    <n v="279801"/>
    <n v="53889"/>
    <x v="1"/>
    <s v="Inactive"/>
  </r>
  <r>
    <s v="CUST0034"/>
    <s v="Richard Scott"/>
    <x v="3"/>
    <n v="52"/>
    <x v="0"/>
    <n v="46103"/>
    <n v="253552"/>
    <n v="137136"/>
    <x v="1"/>
    <s v="Inactive"/>
  </r>
  <r>
    <s v="CUST0035"/>
    <s v="Kyle Burch"/>
    <x v="0"/>
    <n v="37"/>
    <x v="1"/>
    <n v="252076.51219512196"/>
    <n v="279530"/>
    <n v="49401"/>
    <x v="2"/>
    <s v="Active"/>
  </r>
  <r>
    <s v="CUST0036"/>
    <s v="Carol Nunez"/>
    <x v="3"/>
    <n v="46"/>
    <x v="1"/>
    <n v="257101"/>
    <n v="4975"/>
    <n v="124975"/>
    <x v="1"/>
    <s v="Active"/>
  </r>
  <r>
    <s v="CUST0037"/>
    <s v="William Brady"/>
    <x v="1"/>
    <n v="51"/>
    <x v="1"/>
    <n v="436328"/>
    <n v="268431"/>
    <n v="20107"/>
    <x v="1"/>
    <s v="Inactive"/>
  </r>
  <r>
    <s v="CUST0038"/>
    <s v="Sheena Dawson"/>
    <x v="4"/>
    <n v="43"/>
    <x v="1"/>
    <n v="299153"/>
    <n v="217265"/>
    <n v="25816"/>
    <x v="2"/>
    <s v="Active"/>
  </r>
  <r>
    <s v="CUST0039"/>
    <s v="Sandra Rodriguez"/>
    <x v="3"/>
    <n v="39.868583162217661"/>
    <x v="1"/>
    <n v="88858"/>
    <n v="176385"/>
    <n v="96405"/>
    <x v="0"/>
    <s v="Active"/>
  </r>
  <r>
    <s v="CUST0040"/>
    <s v="Luis Bowen"/>
    <x v="3"/>
    <n v="29"/>
    <x v="0"/>
    <n v="232818"/>
    <n v="277062"/>
    <n v="27152"/>
    <x v="1"/>
    <s v="Inactive"/>
  </r>
  <r>
    <s v="CUST0041"/>
    <s v="Phillip Thompson"/>
    <x v="1"/>
    <n v="21"/>
    <x v="2"/>
    <n v="252076.51219512196"/>
    <n v="118185"/>
    <n v="28996"/>
    <x v="2"/>
    <s v="Inactive"/>
  </r>
  <r>
    <s v="CUST0042"/>
    <s v="Denise Holder"/>
    <x v="1"/>
    <n v="53"/>
    <x v="0"/>
    <n v="81993"/>
    <n v="280761"/>
    <n v="48115"/>
    <x v="0"/>
    <s v="Inactive"/>
  </r>
  <r>
    <s v="CUST0043"/>
    <s v="Juan Espinoza"/>
    <x v="2"/>
    <n v="33"/>
    <x v="2"/>
    <n v="52480"/>
    <n v="239014"/>
    <n v="16422"/>
    <x v="1"/>
    <s v="Inactive"/>
  </r>
  <r>
    <s v="CUST0044"/>
    <s v="Amanda Gonzalez"/>
    <x v="0"/>
    <n v="22"/>
    <x v="1"/>
    <n v="23528"/>
    <n v="7049"/>
    <n v="145390"/>
    <x v="0"/>
    <s v="Active"/>
  </r>
  <r>
    <s v="CUST0045"/>
    <s v="Ann Brooks"/>
    <x v="1"/>
    <n v="37"/>
    <x v="1"/>
    <n v="26321"/>
    <n v="243195"/>
    <n v="40977"/>
    <x v="0"/>
    <s v="Active"/>
  </r>
  <r>
    <s v="CUST0046"/>
    <s v="Allison Rogers"/>
    <x v="2"/>
    <n v="49"/>
    <x v="1"/>
    <n v="429931"/>
    <n v="140398.72727272726"/>
    <n v="52216"/>
    <x v="0"/>
    <s v="Active"/>
  </r>
  <r>
    <s v="CUST0047"/>
    <s v="Vickie Lee"/>
    <x v="2"/>
    <n v="26"/>
    <x v="2"/>
    <n v="392441"/>
    <n v="74216"/>
    <n v="118625"/>
    <x v="2"/>
    <s v="Inactive"/>
  </r>
  <r>
    <s v="CUST0048"/>
    <s v="Dana Adams"/>
    <x v="0"/>
    <n v="39"/>
    <x v="0"/>
    <n v="58551"/>
    <n v="277650"/>
    <n v="136448"/>
    <x v="0"/>
    <s v="Active"/>
  </r>
  <r>
    <s v="CUST0049"/>
    <s v="Paula Booth"/>
    <x v="4"/>
    <n v="48"/>
    <x v="1"/>
    <n v="364338"/>
    <n v="91054"/>
    <n v="103727"/>
    <x v="1"/>
    <s v="Active"/>
  </r>
  <r>
    <s v="CUST0050"/>
    <s v="Gina Johnson"/>
    <x v="0"/>
    <n v="42"/>
    <x v="1"/>
    <n v="252076.51219512196"/>
    <n v="136937"/>
    <n v="132762"/>
    <x v="0"/>
    <s v="Active"/>
  </r>
  <r>
    <s v="CUST0051"/>
    <s v="Jamie Jones"/>
    <x v="0"/>
    <n v="53"/>
    <x v="1"/>
    <n v="432454"/>
    <n v="162456"/>
    <n v="138809"/>
    <x v="2"/>
    <s v="Inactive"/>
  </r>
  <r>
    <s v="CUST0052"/>
    <s v="Edward Pham"/>
    <x v="0"/>
    <n v="36"/>
    <x v="1"/>
    <n v="498522"/>
    <n v="128296"/>
    <n v="102110"/>
    <x v="0"/>
    <s v="Active"/>
  </r>
  <r>
    <s v="CUST0053"/>
    <s v="Jack Powell"/>
    <x v="1"/>
    <n v="29"/>
    <x v="0"/>
    <n v="24638"/>
    <n v="269939"/>
    <n v="124648"/>
    <x v="1"/>
    <s v="Inactive"/>
  </r>
  <r>
    <s v="CUST0054"/>
    <s v="Kevin Lee"/>
    <x v="0"/>
    <n v="26"/>
    <x v="0"/>
    <n v="154934"/>
    <n v="59613"/>
    <n v="70957"/>
    <x v="1"/>
    <s v="Inactive"/>
  </r>
  <r>
    <s v="CUST0055"/>
    <s v="Roger Gonzalez"/>
    <x v="1"/>
    <n v="39"/>
    <x v="0"/>
    <n v="307691"/>
    <n v="14360"/>
    <n v="43277"/>
    <x v="0"/>
    <s v="Inactive"/>
  </r>
  <r>
    <s v="CUST0056"/>
    <s v="Andrew Bass"/>
    <x v="4"/>
    <n v="39.868583162217661"/>
    <x v="1"/>
    <n v="389788"/>
    <n v="111897"/>
    <n v="21066"/>
    <x v="0"/>
    <s v="Active"/>
  </r>
  <r>
    <s v="CUST0057"/>
    <s v="Jasmine Lopez"/>
    <x v="1"/>
    <n v="55"/>
    <x v="1"/>
    <n v="192435"/>
    <n v="223701"/>
    <n v="119441"/>
    <x v="2"/>
    <s v="Active"/>
  </r>
  <r>
    <s v="CUST0058"/>
    <s v="Melissa Peck"/>
    <x v="1"/>
    <n v="35"/>
    <x v="2"/>
    <n v="176061"/>
    <n v="133505.5"/>
    <n v="134466"/>
    <x v="0"/>
    <s v="Inactive"/>
  </r>
  <r>
    <s v="CUST0059"/>
    <s v="Stephen Cordova"/>
    <x v="1"/>
    <n v="25"/>
    <x v="1"/>
    <n v="157455"/>
    <n v="31863"/>
    <n v="127242"/>
    <x v="0"/>
    <s v="Inactive"/>
  </r>
  <r>
    <s v="CUST0060"/>
    <s v="Logan Wall"/>
    <x v="3"/>
    <n v="22"/>
    <x v="0"/>
    <n v="391639"/>
    <n v="27554"/>
    <n v="100523"/>
    <x v="0"/>
    <s v="Inactive"/>
  </r>
  <r>
    <s v="CUST0061"/>
    <s v="Amy Reed"/>
    <x v="0"/>
    <n v="24"/>
    <x v="0"/>
    <n v="252076.51219512196"/>
    <n v="100584"/>
    <n v="35602"/>
    <x v="0"/>
    <s v="Inactive"/>
  </r>
  <r>
    <s v="CUST0062"/>
    <s v="Tyler Norris"/>
    <x v="3"/>
    <n v="22"/>
    <x v="2"/>
    <n v="209286"/>
    <n v="58952"/>
    <n v="142309"/>
    <x v="2"/>
    <s v="Active"/>
  </r>
  <r>
    <s v="CUST0063"/>
    <s v="Angela Turner"/>
    <x v="0"/>
    <n v="32"/>
    <x v="1"/>
    <n v="320133"/>
    <n v="68265"/>
    <n v="96140"/>
    <x v="1"/>
    <s v="Inactive"/>
  </r>
  <r>
    <s v="CUST0064"/>
    <s v="Tammy Miller"/>
    <x v="4"/>
    <n v="40"/>
    <x v="0"/>
    <n v="169071"/>
    <n v="90389"/>
    <n v="27537"/>
    <x v="1"/>
    <s v="Active"/>
  </r>
  <r>
    <s v="CUST0065"/>
    <s v="Joe Hill"/>
    <x v="2"/>
    <n v="51"/>
    <x v="1"/>
    <n v="369541"/>
    <n v="273922"/>
    <n v="37790"/>
    <x v="2"/>
    <s v="Inactive"/>
  </r>
  <r>
    <s v="CUST0066"/>
    <s v="Elizabeth Smith"/>
    <x v="1"/>
    <n v="34"/>
    <x v="1"/>
    <n v="312648"/>
    <n v="297858"/>
    <n v="15872"/>
    <x v="1"/>
    <s v="Inactive"/>
  </r>
  <r>
    <s v="CUST0067"/>
    <s v="Nicole Jones"/>
    <x v="4"/>
    <n v="35"/>
    <x v="1"/>
    <n v="254939"/>
    <n v="23605"/>
    <n v="45649"/>
    <x v="2"/>
    <s v="Inactive"/>
  </r>
  <r>
    <s v="CUST0068"/>
    <s v="Whitney Herring"/>
    <x v="2"/>
    <n v="33"/>
    <x v="0"/>
    <n v="499776"/>
    <n v="135392"/>
    <n v="37056"/>
    <x v="1"/>
    <s v="Inactive"/>
  </r>
  <r>
    <s v="CUST0069"/>
    <s v="Steven Fisher"/>
    <x v="1"/>
    <n v="50"/>
    <x v="1"/>
    <n v="242966"/>
    <n v="244312"/>
    <n v="144112"/>
    <x v="1"/>
    <s v="Active"/>
  </r>
  <r>
    <s v="CUST0070"/>
    <s v="Stacy Villegas"/>
    <x v="2"/>
    <n v="51"/>
    <x v="0"/>
    <n v="50013"/>
    <n v="176423"/>
    <n v="74597"/>
    <x v="0"/>
    <s v="Active"/>
  </r>
  <r>
    <s v="CUST0071"/>
    <s v="Thomas Boyer"/>
    <x v="4"/>
    <n v="31"/>
    <x v="0"/>
    <n v="252076.51219512196"/>
    <n v="293560"/>
    <n v="124760"/>
    <x v="1"/>
    <s v="Inactive"/>
  </r>
  <r>
    <s v="CUST0072"/>
    <s v="James Wise"/>
    <x v="1"/>
    <n v="53"/>
    <x v="1"/>
    <n v="128175"/>
    <n v="66663"/>
    <n v="77373"/>
    <x v="0"/>
    <s v="Active"/>
  </r>
  <r>
    <s v="CUST0073"/>
    <s v="Jim Tran"/>
    <x v="2"/>
    <n v="38"/>
    <x v="0"/>
    <n v="246560"/>
    <n v="88354"/>
    <n v="24069"/>
    <x v="2"/>
    <s v="Active"/>
  </r>
  <r>
    <s v="CUST0074"/>
    <s v="Steven Martin"/>
    <x v="2"/>
    <n v="42"/>
    <x v="2"/>
    <n v="252076.51219512196"/>
    <n v="104525"/>
    <n v="14252"/>
    <x v="1"/>
    <s v="Inactive"/>
  </r>
  <r>
    <s v="CUST0075"/>
    <s v="Lonnie Harmon"/>
    <x v="3"/>
    <n v="40"/>
    <x v="1"/>
    <n v="303558"/>
    <n v="255099"/>
    <n v="47105"/>
    <x v="0"/>
    <s v="Inactive"/>
  </r>
  <r>
    <s v="CUST0076"/>
    <s v="Karen Boone"/>
    <x v="3"/>
    <n v="31"/>
    <x v="1"/>
    <n v="175153"/>
    <n v="208967"/>
    <n v="63122"/>
    <x v="1"/>
    <s v="Inactive"/>
  </r>
  <r>
    <s v="CUST0077"/>
    <s v="Sean Jordan"/>
    <x v="3"/>
    <n v="31"/>
    <x v="1"/>
    <n v="65007"/>
    <n v="184413.71428571429"/>
    <n v="97917"/>
    <x v="2"/>
    <s v="Active"/>
  </r>
  <r>
    <s v="CUST0078"/>
    <s v="John Mack"/>
    <x v="4"/>
    <n v="54"/>
    <x v="2"/>
    <n v="240234"/>
    <n v="292742"/>
    <n v="58877"/>
    <x v="2"/>
    <s v="Active"/>
  </r>
  <r>
    <s v="CUST0079"/>
    <s v="Willie Anderson"/>
    <x v="2"/>
    <n v="39"/>
    <x v="1"/>
    <n v="365810"/>
    <n v="280288"/>
    <n v="104256"/>
    <x v="1"/>
    <s v="Active"/>
  </r>
  <r>
    <s v="CUST0080"/>
    <s v="Dustin Silva"/>
    <x v="3"/>
    <n v="42"/>
    <x v="1"/>
    <n v="271152"/>
    <n v="123703"/>
    <n v="41784"/>
    <x v="0"/>
    <s v="Active"/>
  </r>
  <r>
    <s v="CUST0081"/>
    <s v="Karen Atkins"/>
    <x v="1"/>
    <n v="26"/>
    <x v="2"/>
    <n v="276817"/>
    <n v="21940"/>
    <n v="121421"/>
    <x v="2"/>
    <s v="Inactive"/>
  </r>
  <r>
    <s v="CUST0082"/>
    <s v="Crystal Harris"/>
    <x v="2"/>
    <n v="48"/>
    <x v="0"/>
    <n v="162326"/>
    <n v="33262"/>
    <n v="11683"/>
    <x v="1"/>
    <s v="Active"/>
  </r>
  <r>
    <s v="CUST0083"/>
    <s v="James Murphy"/>
    <x v="4"/>
    <n v="44"/>
    <x v="0"/>
    <n v="26693"/>
    <n v="164325"/>
    <n v="59378"/>
    <x v="1"/>
    <s v="Active"/>
  </r>
  <r>
    <s v="CUST0084"/>
    <s v="Ashley Crawford"/>
    <x v="1"/>
    <n v="22"/>
    <x v="0"/>
    <n v="253095"/>
    <n v="151123"/>
    <n v="16393"/>
    <x v="0"/>
    <s v="Inactive"/>
  </r>
  <r>
    <s v="CUST0085"/>
    <s v="Nicole Ellison"/>
    <x v="2"/>
    <n v="50"/>
    <x v="0"/>
    <n v="252076.51219512196"/>
    <n v="191793"/>
    <n v="73677"/>
    <x v="2"/>
    <s v="Inactive"/>
  </r>
  <r>
    <s v="CUST0086"/>
    <s v="Sandra Burns"/>
    <x v="1"/>
    <n v="29"/>
    <x v="1"/>
    <n v="465709"/>
    <n v="273873"/>
    <n v="80064"/>
    <x v="2"/>
    <s v="Active"/>
  </r>
  <r>
    <s v="CUST0087"/>
    <s v="Robert Martin"/>
    <x v="4"/>
    <n v="26"/>
    <x v="1"/>
    <n v="243375"/>
    <n v="144627.29999999999"/>
    <n v="103915"/>
    <x v="1"/>
    <s v="Inactive"/>
  </r>
  <r>
    <s v="CUST0088"/>
    <s v="Victor Delacruz"/>
    <x v="0"/>
    <n v="50"/>
    <x v="2"/>
    <n v="319309"/>
    <n v="70456"/>
    <n v="47810"/>
    <x v="1"/>
    <s v="Inactive"/>
  </r>
  <r>
    <s v="CUST0089"/>
    <s v="Willie Brown"/>
    <x v="4"/>
    <n v="52"/>
    <x v="1"/>
    <n v="478333"/>
    <n v="15424"/>
    <n v="96576"/>
    <x v="2"/>
    <s v="Inactive"/>
  </r>
  <r>
    <s v="CUST0090"/>
    <s v="Ryan Watson"/>
    <x v="4"/>
    <n v="58"/>
    <x v="0"/>
    <n v="259971"/>
    <n v="86493"/>
    <n v="35064"/>
    <x v="1"/>
    <s v="Active"/>
  </r>
  <r>
    <s v="CUST0091"/>
    <s v="Grace Kennedy"/>
    <x v="0"/>
    <n v="37"/>
    <x v="0"/>
    <n v="244438"/>
    <n v="198147"/>
    <n v="18978"/>
    <x v="1"/>
    <s v="Inactive"/>
  </r>
  <r>
    <s v="CUST0092"/>
    <s v="Gabriela Keller"/>
    <x v="1"/>
    <n v="44"/>
    <x v="1"/>
    <n v="191107"/>
    <n v="18042"/>
    <n v="95357"/>
    <x v="2"/>
    <s v="Inactive"/>
  </r>
  <r>
    <s v="CUST0093"/>
    <s v="Juan Smith"/>
    <x v="0"/>
    <n v="46"/>
    <x v="1"/>
    <n v="26630"/>
    <n v="44901"/>
    <n v="141490"/>
    <x v="0"/>
    <s v="Inactive"/>
  </r>
  <r>
    <s v="CUST0094"/>
    <s v="Sara Larson"/>
    <x v="3"/>
    <n v="36"/>
    <x v="0"/>
    <n v="489137"/>
    <n v="10926"/>
    <n v="147692"/>
    <x v="1"/>
    <s v="Inactive"/>
  </r>
  <r>
    <s v="CUST0095"/>
    <s v="Joshua Smith"/>
    <x v="2"/>
    <n v="22"/>
    <x v="0"/>
    <n v="157271"/>
    <n v="282313"/>
    <n v="76580"/>
    <x v="0"/>
    <s v="Active"/>
  </r>
  <r>
    <s v="CUST0096"/>
    <s v="Dennis Owens"/>
    <x v="1"/>
    <n v="52"/>
    <x v="0"/>
    <n v="450848"/>
    <n v="97292"/>
    <n v="91197"/>
    <x v="2"/>
    <s v="Active"/>
  </r>
  <r>
    <s v="CUST0097"/>
    <s v="Kristin Ross"/>
    <x v="4"/>
    <n v="42"/>
    <x v="2"/>
    <n v="342738"/>
    <n v="3460"/>
    <n v="89204"/>
    <x v="2"/>
    <s v="Inactive"/>
  </r>
  <r>
    <s v="CUST0098"/>
    <s v="James Trevino"/>
    <x v="0"/>
    <n v="55"/>
    <x v="1"/>
    <n v="440079"/>
    <n v="79425"/>
    <n v="92567"/>
    <x v="1"/>
    <s v="Inactive"/>
  </r>
  <r>
    <s v="CUST0099"/>
    <s v="Anthony Roberts"/>
    <x v="3"/>
    <n v="37"/>
    <x v="2"/>
    <n v="367420"/>
    <n v="62562"/>
    <n v="46449"/>
    <x v="1"/>
    <s v="Active"/>
  </r>
  <r>
    <s v="CUST0100"/>
    <s v="Cory Lee"/>
    <x v="2"/>
    <n v="36"/>
    <x v="0"/>
    <n v="231646"/>
    <n v="257042"/>
    <n v="42793"/>
    <x v="1"/>
    <s v="Inactive"/>
  </r>
  <r>
    <s v="CUST0101"/>
    <s v="Shane Sanders"/>
    <x v="3"/>
    <n v="45"/>
    <x v="1"/>
    <n v="374377"/>
    <n v="224721"/>
    <n v="13573"/>
    <x v="0"/>
    <s v="Inactive"/>
  </r>
  <r>
    <s v="CUST0102"/>
    <s v="Chloe Shepard"/>
    <x v="1"/>
    <n v="35"/>
    <x v="0"/>
    <n v="114889"/>
    <n v="170333"/>
    <n v="52787"/>
    <x v="2"/>
    <s v="Inactive"/>
  </r>
  <r>
    <s v="CUST0103"/>
    <s v="Breanna Cline"/>
    <x v="3"/>
    <n v="44"/>
    <x v="2"/>
    <n v="8871"/>
    <n v="143048"/>
    <n v="136897"/>
    <x v="1"/>
    <s v="Active"/>
  </r>
  <r>
    <s v="CUST0104"/>
    <s v="Kara Lewis"/>
    <x v="1"/>
    <n v="44"/>
    <x v="1"/>
    <n v="120703"/>
    <n v="2085"/>
    <n v="105067"/>
    <x v="0"/>
    <s v="Inactive"/>
  </r>
  <r>
    <s v="CUST0105"/>
    <s v="Anthony Tate"/>
    <x v="2"/>
    <n v="38"/>
    <x v="0"/>
    <n v="198032"/>
    <n v="115288"/>
    <n v="131182"/>
    <x v="0"/>
    <s v="Active"/>
  </r>
  <r>
    <s v="CUST0106"/>
    <s v="Kelly Garcia"/>
    <x v="2"/>
    <n v="57"/>
    <x v="0"/>
    <n v="335897"/>
    <n v="33389"/>
    <n v="120473"/>
    <x v="0"/>
    <s v="Inactive"/>
  </r>
  <r>
    <s v="CUST0107"/>
    <s v="Kelsey Clark"/>
    <x v="2"/>
    <n v="33"/>
    <x v="0"/>
    <n v="238803"/>
    <n v="156800.92307692306"/>
    <n v="115518"/>
    <x v="1"/>
    <s v="Active"/>
  </r>
  <r>
    <s v="CUST0108"/>
    <s v="Susan English"/>
    <x v="4"/>
    <n v="33"/>
    <x v="0"/>
    <n v="252076.51219512196"/>
    <n v="136824"/>
    <n v="97308"/>
    <x v="0"/>
    <s v="Inactive"/>
  </r>
  <r>
    <s v="CUST0109"/>
    <s v="Marcia Reed"/>
    <x v="3"/>
    <n v="34"/>
    <x v="2"/>
    <n v="16297"/>
    <n v="208977"/>
    <n v="41802"/>
    <x v="0"/>
    <s v="Inactive"/>
  </r>
  <r>
    <s v="CUST0110"/>
    <s v="Tyler Mann"/>
    <x v="4"/>
    <n v="35"/>
    <x v="1"/>
    <n v="80267"/>
    <n v="33899"/>
    <n v="99816"/>
    <x v="2"/>
    <s v="Active"/>
  </r>
  <r>
    <s v="CUST0111"/>
    <s v="Kendra Nguyen"/>
    <x v="4"/>
    <n v="45"/>
    <x v="1"/>
    <n v="252076.51219512196"/>
    <n v="48154"/>
    <n v="50530"/>
    <x v="1"/>
    <s v="Inactive"/>
  </r>
  <r>
    <s v="CUST0112"/>
    <s v="Laura Torres"/>
    <x v="0"/>
    <n v="44"/>
    <x v="1"/>
    <n v="80503"/>
    <n v="33346"/>
    <n v="137146"/>
    <x v="0"/>
    <s v="Inactive"/>
  </r>
  <r>
    <s v="CUST0113"/>
    <s v="Luis Douglas"/>
    <x v="0"/>
    <n v="29"/>
    <x v="1"/>
    <n v="127763"/>
    <n v="126448"/>
    <n v="116625"/>
    <x v="0"/>
    <s v="Active"/>
  </r>
  <r>
    <s v="CUST0114"/>
    <s v="Renee Todd"/>
    <x v="1"/>
    <n v="51"/>
    <x v="1"/>
    <n v="281645"/>
    <n v="292"/>
    <n v="138939"/>
    <x v="0"/>
    <s v="Active"/>
  </r>
  <r>
    <s v="CUST0115"/>
    <s v="Kristen Wilson"/>
    <x v="0"/>
    <n v="25"/>
    <x v="0"/>
    <n v="398354"/>
    <n v="123833"/>
    <n v="31685"/>
    <x v="2"/>
    <s v="Inactive"/>
  </r>
  <r>
    <s v="CUST0116"/>
    <s v="Johnny Wood"/>
    <x v="4"/>
    <n v="27"/>
    <x v="2"/>
    <n v="92335"/>
    <n v="282803"/>
    <n v="83920"/>
    <x v="0"/>
    <s v="Active"/>
  </r>
  <r>
    <s v="CUST0117"/>
    <s v="Megan Freeman"/>
    <x v="1"/>
    <n v="32"/>
    <x v="0"/>
    <n v="212363"/>
    <n v="125112"/>
    <n v="59296"/>
    <x v="2"/>
    <s v="Active"/>
  </r>
  <r>
    <s v="CUST0118"/>
    <s v="Regina Flores"/>
    <x v="3"/>
    <n v="56"/>
    <x v="1"/>
    <n v="252076.51219512196"/>
    <n v="108865"/>
    <n v="16616"/>
    <x v="1"/>
    <s v="Inactive"/>
  </r>
  <r>
    <s v="CUST0119"/>
    <s v="Laura Colon"/>
    <x v="2"/>
    <n v="21"/>
    <x v="0"/>
    <n v="398885"/>
    <n v="113155"/>
    <n v="82448"/>
    <x v="2"/>
    <s v="Inactive"/>
  </r>
  <r>
    <s v="CUST0120"/>
    <s v="Christopher Rios"/>
    <x v="0"/>
    <n v="28"/>
    <x v="0"/>
    <n v="175622"/>
    <n v="109133.41176470589"/>
    <n v="115068"/>
    <x v="1"/>
    <s v="Inactive"/>
  </r>
  <r>
    <s v="CUST0121"/>
    <s v="John Malone"/>
    <x v="0"/>
    <n v="46"/>
    <x v="0"/>
    <n v="224551"/>
    <n v="121925"/>
    <n v="116065"/>
    <x v="2"/>
    <s v="Active"/>
  </r>
  <r>
    <s v="CUST0122"/>
    <s v="Luis Ramos"/>
    <x v="1"/>
    <n v="46"/>
    <x v="0"/>
    <n v="377318"/>
    <n v="163328"/>
    <n v="42694"/>
    <x v="1"/>
    <s v="Inactive"/>
  </r>
  <r>
    <s v="CUST0123"/>
    <s v="Luis Conway"/>
    <x v="0"/>
    <n v="43"/>
    <x v="1"/>
    <n v="54798"/>
    <n v="249335"/>
    <n v="135806"/>
    <x v="1"/>
    <s v="Active"/>
  </r>
  <r>
    <s v="CUST0124"/>
    <s v="Diana Moore"/>
    <x v="2"/>
    <n v="40"/>
    <x v="1"/>
    <n v="345857"/>
    <n v="211857"/>
    <n v="111513"/>
    <x v="1"/>
    <s v="Active"/>
  </r>
  <r>
    <s v="CUST0125"/>
    <s v="Jenna Scott"/>
    <x v="0"/>
    <n v="44"/>
    <x v="0"/>
    <n v="276981"/>
    <n v="182803"/>
    <n v="37765"/>
    <x v="0"/>
    <s v="Inactive"/>
  </r>
  <r>
    <s v="CUST0126"/>
    <s v="Anthony Fowler"/>
    <x v="2"/>
    <n v="45"/>
    <x v="0"/>
    <n v="408824"/>
    <n v="142277"/>
    <n v="22112"/>
    <x v="1"/>
    <s v="Active"/>
  </r>
  <r>
    <s v="CUST0127"/>
    <s v="Emily Roy"/>
    <x v="3"/>
    <n v="47"/>
    <x v="0"/>
    <n v="210402"/>
    <n v="94577"/>
    <n v="60506"/>
    <x v="1"/>
    <s v="Inactive"/>
  </r>
  <r>
    <s v="CUST0128"/>
    <s v="Daniel Weaver"/>
    <x v="2"/>
    <n v="41"/>
    <x v="1"/>
    <n v="119547"/>
    <n v="96291"/>
    <n v="101237"/>
    <x v="0"/>
    <s v="Active"/>
  </r>
  <r>
    <s v="CUST0129"/>
    <s v="Megan Leon"/>
    <x v="0"/>
    <n v="26"/>
    <x v="0"/>
    <n v="328510"/>
    <n v="112717"/>
    <n v="147135"/>
    <x v="2"/>
    <s v="Inactive"/>
  </r>
  <r>
    <s v="CUST0130"/>
    <s v="Jessica Maynard"/>
    <x v="0"/>
    <n v="28"/>
    <x v="0"/>
    <n v="478900"/>
    <n v="35361"/>
    <n v="83845"/>
    <x v="2"/>
    <s v="Active"/>
  </r>
  <r>
    <s v="CUST0131"/>
    <s v="Andrea Patterson"/>
    <x v="2"/>
    <n v="47"/>
    <x v="1"/>
    <n v="406562"/>
    <n v="59465"/>
    <n v="64511"/>
    <x v="2"/>
    <s v="Active"/>
  </r>
  <r>
    <s v="CUST0132"/>
    <s v="Paul Cruz"/>
    <x v="1"/>
    <n v="47"/>
    <x v="0"/>
    <n v="301525"/>
    <n v="127024"/>
    <n v="142319"/>
    <x v="1"/>
    <s v="Active"/>
  </r>
  <r>
    <s v="CUST0133"/>
    <s v="Aaron Bond"/>
    <x v="2"/>
    <n v="46"/>
    <x v="1"/>
    <n v="455252"/>
    <n v="183492"/>
    <n v="138614"/>
    <x v="2"/>
    <s v="Active"/>
  </r>
  <r>
    <s v="CUST0134"/>
    <s v="George Acosta"/>
    <x v="4"/>
    <n v="49"/>
    <x v="2"/>
    <n v="26460"/>
    <n v="74486"/>
    <n v="132541"/>
    <x v="1"/>
    <s v="Inactive"/>
  </r>
  <r>
    <s v="CUST0135"/>
    <s v="Alan Silva"/>
    <x v="4"/>
    <n v="35"/>
    <x v="1"/>
    <n v="12234"/>
    <n v="72171"/>
    <n v="98331"/>
    <x v="1"/>
    <s v="Inactive"/>
  </r>
  <r>
    <s v="CUST0136"/>
    <s v="Stephen Ramirez"/>
    <x v="0"/>
    <n v="54"/>
    <x v="1"/>
    <n v="211597"/>
    <n v="8683"/>
    <n v="110922"/>
    <x v="1"/>
    <s v="Inactive"/>
  </r>
  <r>
    <s v="CUST0137"/>
    <s v="Matthew Martin"/>
    <x v="1"/>
    <n v="34"/>
    <x v="1"/>
    <n v="84415"/>
    <n v="157265.28571428571"/>
    <n v="22476"/>
    <x v="2"/>
    <s v="Inactive"/>
  </r>
  <r>
    <s v="CUST0138"/>
    <s v="Ashley Ruiz"/>
    <x v="4"/>
    <n v="21"/>
    <x v="0"/>
    <n v="21816"/>
    <n v="113155"/>
    <n v="54938"/>
    <x v="0"/>
    <s v="Inactive"/>
  </r>
  <r>
    <s v="CUST0139"/>
    <s v="Patrick White"/>
    <x v="2"/>
    <n v="31"/>
    <x v="1"/>
    <n v="318474"/>
    <n v="242458"/>
    <n v="87577"/>
    <x v="1"/>
    <s v="Active"/>
  </r>
  <r>
    <s v="CUST0140"/>
    <s v="Yvonne Callahan"/>
    <x v="2"/>
    <n v="38"/>
    <x v="2"/>
    <n v="479125"/>
    <n v="84817"/>
    <n v="138177"/>
    <x v="1"/>
    <s v="Active"/>
  </r>
  <r>
    <s v="CUST0141"/>
    <s v="Carrie Chang"/>
    <x v="4"/>
    <n v="48"/>
    <x v="2"/>
    <n v="153691"/>
    <n v="104898"/>
    <n v="102853"/>
    <x v="1"/>
    <s v="Active"/>
  </r>
  <r>
    <s v="CUST0142"/>
    <s v="Pamela Leach"/>
    <x v="2"/>
    <n v="58"/>
    <x v="2"/>
    <n v="252076.51219512196"/>
    <n v="192321"/>
    <n v="97508"/>
    <x v="1"/>
    <s v="Inactive"/>
  </r>
  <r>
    <s v="CUST0143"/>
    <s v="Omar Welch"/>
    <x v="4"/>
    <n v="57"/>
    <x v="0"/>
    <n v="404248"/>
    <n v="231223"/>
    <n v="140470"/>
    <x v="1"/>
    <s v="Active"/>
  </r>
  <r>
    <s v="CUST0144"/>
    <s v="Gabriel Sanchez"/>
    <x v="1"/>
    <n v="44"/>
    <x v="0"/>
    <n v="423641"/>
    <n v="184884"/>
    <n v="139128"/>
    <x v="1"/>
    <s v="Inactive"/>
  </r>
  <r>
    <s v="CUST0145"/>
    <s v="Marc Harris"/>
    <x v="3"/>
    <n v="40"/>
    <x v="0"/>
    <n v="136662"/>
    <n v="133410"/>
    <n v="129107"/>
    <x v="1"/>
    <s v="Inactive"/>
  </r>
  <r>
    <s v="CUST0146"/>
    <s v="Donna Dunn"/>
    <x v="4"/>
    <n v="29"/>
    <x v="0"/>
    <n v="190978"/>
    <n v="232713"/>
    <n v="133554"/>
    <x v="1"/>
    <s v="Inactive"/>
  </r>
  <r>
    <s v="CUST0147"/>
    <s v="Stanley Whitney"/>
    <x v="2"/>
    <n v="56"/>
    <x v="0"/>
    <n v="3195"/>
    <n v="296213"/>
    <n v="58646"/>
    <x v="0"/>
    <s v="Inactive"/>
  </r>
  <r>
    <s v="CUST0148"/>
    <s v="Traci Carter"/>
    <x v="1"/>
    <n v="26"/>
    <x v="0"/>
    <n v="320584"/>
    <n v="211363"/>
    <n v="73878"/>
    <x v="0"/>
    <s v="Inactive"/>
  </r>
  <r>
    <s v="CUST0149"/>
    <s v="John Caldwell"/>
    <x v="2"/>
    <n v="33"/>
    <x v="0"/>
    <n v="194588"/>
    <n v="282284"/>
    <n v="104731"/>
    <x v="0"/>
    <s v="Inactive"/>
  </r>
  <r>
    <s v="CUST0150"/>
    <s v="Tasha Wilson"/>
    <x v="4"/>
    <n v="44"/>
    <x v="0"/>
    <n v="85080"/>
    <n v="89756"/>
    <n v="40451"/>
    <x v="1"/>
    <s v="Inactive"/>
  </r>
  <r>
    <s v="CUST0151"/>
    <s v="Candace Clayton"/>
    <x v="0"/>
    <n v="48"/>
    <x v="1"/>
    <n v="166669"/>
    <n v="278302"/>
    <n v="39409"/>
    <x v="0"/>
    <s v="Active"/>
  </r>
  <r>
    <s v="CUST0152"/>
    <s v="Catherine Norman"/>
    <x v="2"/>
    <n v="39"/>
    <x v="2"/>
    <n v="252076.51219512196"/>
    <n v="45731"/>
    <n v="146843"/>
    <x v="2"/>
    <s v="Active"/>
  </r>
  <r>
    <s v="CUST0153"/>
    <s v="Suzanne Brewer"/>
    <x v="1"/>
    <n v="30"/>
    <x v="2"/>
    <n v="252076.51219512196"/>
    <n v="3666"/>
    <n v="75322"/>
    <x v="0"/>
    <s v="Active"/>
  </r>
  <r>
    <s v="CUST0154"/>
    <s v="Robert Wagner"/>
    <x v="4"/>
    <n v="23"/>
    <x v="1"/>
    <n v="465364"/>
    <n v="128434.33333333333"/>
    <n v="69069"/>
    <x v="0"/>
    <s v="Active"/>
  </r>
  <r>
    <s v="CUST0155"/>
    <s v="Bradley Zimmerman"/>
    <x v="2"/>
    <n v="59"/>
    <x v="0"/>
    <n v="466360"/>
    <n v="287966"/>
    <n v="78186"/>
    <x v="0"/>
    <s v="Inactive"/>
  </r>
  <r>
    <s v="CUST0156"/>
    <s v="Anthony Holland"/>
    <x v="0"/>
    <n v="32"/>
    <x v="1"/>
    <n v="158712"/>
    <n v="293271"/>
    <n v="64545"/>
    <x v="1"/>
    <s v="Inactive"/>
  </r>
  <r>
    <s v="CUST0157"/>
    <s v="Glen Gibson"/>
    <x v="0"/>
    <n v="23"/>
    <x v="0"/>
    <n v="479288"/>
    <n v="196333"/>
    <n v="54686"/>
    <x v="2"/>
    <s v="Active"/>
  </r>
  <r>
    <s v="CUST0158"/>
    <s v="Marvin Harvey"/>
    <x v="3"/>
    <n v="26"/>
    <x v="2"/>
    <n v="410416"/>
    <n v="278605"/>
    <n v="117063"/>
    <x v="2"/>
    <s v="Inactive"/>
  </r>
  <r>
    <s v="CUST0159"/>
    <s v="Larry Brown"/>
    <x v="1"/>
    <n v="25"/>
    <x v="1"/>
    <n v="155788"/>
    <n v="249922"/>
    <n v="130004"/>
    <x v="1"/>
    <s v="Active"/>
  </r>
  <r>
    <s v="CUST0160"/>
    <s v="Mark Jones"/>
    <x v="2"/>
    <n v="35"/>
    <x v="1"/>
    <n v="370236"/>
    <n v="252371"/>
    <n v="42405"/>
    <x v="2"/>
    <s v="Active"/>
  </r>
  <r>
    <s v="CUST0161"/>
    <s v="Emily Schultz"/>
    <x v="4"/>
    <n v="59"/>
    <x v="0"/>
    <n v="252076.51219512196"/>
    <n v="198348"/>
    <n v="63502"/>
    <x v="1"/>
    <s v="Inactive"/>
  </r>
  <r>
    <s v="CUST0162"/>
    <s v="Adrian Martinez"/>
    <x v="4"/>
    <n v="47"/>
    <x v="0"/>
    <n v="196807"/>
    <n v="100862"/>
    <n v="96119"/>
    <x v="1"/>
    <s v="Active"/>
  </r>
  <r>
    <s v="CUST0163"/>
    <s v="Nancy Dixon"/>
    <x v="1"/>
    <n v="27"/>
    <x v="0"/>
    <n v="249502"/>
    <n v="239466"/>
    <n v="50803"/>
    <x v="2"/>
    <s v="Active"/>
  </r>
  <r>
    <s v="CUST0164"/>
    <s v="Ruben Davenport"/>
    <x v="0"/>
    <n v="49"/>
    <x v="0"/>
    <n v="1348"/>
    <n v="278297"/>
    <n v="57909"/>
    <x v="0"/>
    <s v="Inactive"/>
  </r>
  <r>
    <s v="CUST0165"/>
    <s v="Natalie Wilson"/>
    <x v="0"/>
    <n v="35"/>
    <x v="0"/>
    <n v="252076.51219512196"/>
    <n v="276585"/>
    <n v="129538"/>
    <x v="2"/>
    <s v="Inactive"/>
  </r>
  <r>
    <s v="CUST0166"/>
    <s v="Mary Mason"/>
    <x v="0"/>
    <n v="48"/>
    <x v="1"/>
    <n v="385522"/>
    <n v="201718"/>
    <n v="65198"/>
    <x v="1"/>
    <s v="Active"/>
  </r>
  <r>
    <s v="CUST0167"/>
    <s v="Gary Payne"/>
    <x v="2"/>
    <n v="46"/>
    <x v="2"/>
    <n v="47320"/>
    <n v="9"/>
    <n v="74530"/>
    <x v="0"/>
    <s v="Active"/>
  </r>
  <r>
    <s v="CUST0168"/>
    <s v="Elizabeth Bernard"/>
    <x v="0"/>
    <n v="52"/>
    <x v="0"/>
    <n v="399377"/>
    <n v="159636"/>
    <n v="89547"/>
    <x v="2"/>
    <s v="Inactive"/>
  </r>
  <r>
    <s v="CUST0169"/>
    <s v="Joel Chambers"/>
    <x v="1"/>
    <n v="54"/>
    <x v="1"/>
    <n v="73842"/>
    <n v="99315"/>
    <n v="20813"/>
    <x v="1"/>
    <s v="Inactive"/>
  </r>
  <r>
    <s v="CUST0170"/>
    <s v="Anthony Smith"/>
    <x v="3"/>
    <n v="41"/>
    <x v="0"/>
    <n v="486104"/>
    <n v="64489"/>
    <n v="137970"/>
    <x v="0"/>
    <s v="Active"/>
  </r>
  <r>
    <s v="CUST0171"/>
    <s v="Ann Taylor"/>
    <x v="1"/>
    <n v="39.868583162217661"/>
    <x v="2"/>
    <n v="17815"/>
    <n v="111897"/>
    <n v="59085"/>
    <x v="0"/>
    <s v="Active"/>
  </r>
  <r>
    <s v="CUST0172"/>
    <s v="Jason Chan"/>
    <x v="4"/>
    <n v="40"/>
    <x v="1"/>
    <n v="266550"/>
    <n v="290872"/>
    <n v="42254"/>
    <x v="0"/>
    <s v="Inactive"/>
  </r>
  <r>
    <s v="CUST0173"/>
    <s v="Tiffany Duke"/>
    <x v="0"/>
    <n v="55"/>
    <x v="1"/>
    <n v="31173"/>
    <n v="152109"/>
    <n v="91439"/>
    <x v="2"/>
    <s v="Inactive"/>
  </r>
  <r>
    <s v="CUST0174"/>
    <s v="Laura White"/>
    <x v="4"/>
    <n v="36"/>
    <x v="2"/>
    <n v="435832"/>
    <n v="103275.625"/>
    <n v="61510"/>
    <x v="0"/>
    <s v="Active"/>
  </r>
  <r>
    <s v="CUST0175"/>
    <s v="Susan Edwards"/>
    <x v="3"/>
    <n v="50"/>
    <x v="1"/>
    <n v="227860"/>
    <n v="71296"/>
    <n v="40696"/>
    <x v="1"/>
    <s v="Inactive"/>
  </r>
  <r>
    <s v="CUST0176"/>
    <s v="Kathy Anderson"/>
    <x v="0"/>
    <n v="54"/>
    <x v="0"/>
    <n v="488221"/>
    <n v="275631"/>
    <n v="130107"/>
    <x v="0"/>
    <s v="Inactive"/>
  </r>
  <r>
    <s v="CUST0177"/>
    <s v="Kim Thompson"/>
    <x v="4"/>
    <n v="35"/>
    <x v="1"/>
    <n v="200936"/>
    <n v="56987"/>
    <n v="55489"/>
    <x v="2"/>
    <s v="Active"/>
  </r>
  <r>
    <s v="CUST0178"/>
    <s v="Sean Houston"/>
    <x v="0"/>
    <n v="27"/>
    <x v="0"/>
    <n v="380462"/>
    <n v="95783"/>
    <n v="37390"/>
    <x v="1"/>
    <s v="Active"/>
  </r>
  <r>
    <s v="CUST0179"/>
    <s v="Patricia Leblanc"/>
    <x v="2"/>
    <n v="30"/>
    <x v="0"/>
    <n v="46055"/>
    <n v="185518.09090909091"/>
    <n v="140682"/>
    <x v="1"/>
    <s v="Active"/>
  </r>
  <r>
    <s v="CUST0180"/>
    <s v="Roberto Ward"/>
    <x v="3"/>
    <n v="29"/>
    <x v="0"/>
    <n v="238355"/>
    <n v="260567"/>
    <n v="80549"/>
    <x v="2"/>
    <s v="Active"/>
  </r>
  <r>
    <s v="CUST0181"/>
    <s v="Paul Richardson"/>
    <x v="0"/>
    <n v="26"/>
    <x v="0"/>
    <n v="35223"/>
    <n v="137145"/>
    <n v="144461"/>
    <x v="1"/>
    <s v="Inactive"/>
  </r>
  <r>
    <s v="CUST0182"/>
    <s v="Jason Pratt"/>
    <x v="2"/>
    <n v="54"/>
    <x v="1"/>
    <n v="3138"/>
    <n v="197325"/>
    <n v="65932"/>
    <x v="0"/>
    <s v="Active"/>
  </r>
  <r>
    <s v="CUST0183"/>
    <s v="Anthony Hansen"/>
    <x v="3"/>
    <n v="50"/>
    <x v="1"/>
    <n v="426487"/>
    <n v="176469"/>
    <n v="121016"/>
    <x v="2"/>
    <s v="Inactive"/>
  </r>
  <r>
    <s v="CUST0184"/>
    <s v="James Murphy"/>
    <x v="2"/>
    <n v="21"/>
    <x v="1"/>
    <n v="442824"/>
    <n v="185490"/>
    <n v="132787"/>
    <x v="2"/>
    <s v="Inactive"/>
  </r>
  <r>
    <s v="CUST0185"/>
    <s v="Michelle Myers"/>
    <x v="2"/>
    <n v="39"/>
    <x v="1"/>
    <n v="376223"/>
    <n v="128406"/>
    <n v="124081"/>
    <x v="2"/>
    <s v="Inactive"/>
  </r>
  <r>
    <s v="CUST0186"/>
    <s v="Heather Wilson"/>
    <x v="2"/>
    <n v="54"/>
    <x v="0"/>
    <n v="373850"/>
    <n v="163039"/>
    <n v="121571"/>
    <x v="0"/>
    <s v="Active"/>
  </r>
  <r>
    <s v="CUST0187"/>
    <s v="Traci Rogers"/>
    <x v="1"/>
    <n v="30"/>
    <x v="1"/>
    <n v="490901"/>
    <n v="180701"/>
    <n v="78111"/>
    <x v="1"/>
    <s v="Inactive"/>
  </r>
  <r>
    <s v="CUST0188"/>
    <s v="Robert Cline"/>
    <x v="2"/>
    <n v="25"/>
    <x v="0"/>
    <n v="60576"/>
    <n v="115473"/>
    <n v="121304"/>
    <x v="2"/>
    <s v="Inactive"/>
  </r>
  <r>
    <s v="CUST0189"/>
    <s v="Jeff Acosta"/>
    <x v="1"/>
    <n v="22"/>
    <x v="2"/>
    <n v="393459"/>
    <n v="58701"/>
    <n v="116099"/>
    <x v="0"/>
    <s v="Active"/>
  </r>
  <r>
    <s v="CUST0190"/>
    <s v="Jeffrey Long"/>
    <x v="3"/>
    <n v="24"/>
    <x v="1"/>
    <n v="137414"/>
    <n v="29246"/>
    <n v="118197"/>
    <x v="2"/>
    <s v="Active"/>
  </r>
  <r>
    <s v="CUST0191"/>
    <s v="Ashley Moore"/>
    <x v="1"/>
    <n v="57"/>
    <x v="0"/>
    <n v="252076.51219512196"/>
    <n v="114677"/>
    <n v="115143"/>
    <x v="2"/>
    <s v="Inactive"/>
  </r>
  <r>
    <s v="CUST0192"/>
    <s v="Debra Kaufman"/>
    <x v="2"/>
    <n v="55"/>
    <x v="0"/>
    <n v="357817"/>
    <n v="143134"/>
    <n v="105627"/>
    <x v="2"/>
    <s v="Inactive"/>
  </r>
  <r>
    <s v="CUST0193"/>
    <s v="Alan Wilson"/>
    <x v="1"/>
    <n v="52"/>
    <x v="0"/>
    <n v="267301"/>
    <n v="65147"/>
    <n v="89017"/>
    <x v="1"/>
    <s v="Inactive"/>
  </r>
  <r>
    <s v="CUST0194"/>
    <s v="Louis Morris"/>
    <x v="1"/>
    <n v="38"/>
    <x v="0"/>
    <n v="38570"/>
    <n v="172496"/>
    <n v="50085"/>
    <x v="0"/>
    <s v="Active"/>
  </r>
  <r>
    <s v="CUST0195"/>
    <s v="James Young"/>
    <x v="3"/>
    <n v="57"/>
    <x v="2"/>
    <n v="142157"/>
    <n v="294194"/>
    <n v="143345"/>
    <x v="1"/>
    <s v="Active"/>
  </r>
  <r>
    <s v="CUST0196"/>
    <s v="Tina Farley"/>
    <x v="3"/>
    <n v="28"/>
    <x v="1"/>
    <n v="324504"/>
    <n v="85106"/>
    <n v="70595"/>
    <x v="2"/>
    <s v="Inactive"/>
  </r>
  <r>
    <s v="CUST0197"/>
    <s v="Dana Murillo"/>
    <x v="3"/>
    <n v="25"/>
    <x v="0"/>
    <n v="385218"/>
    <n v="56024"/>
    <n v="74402"/>
    <x v="0"/>
    <s v="Active"/>
  </r>
  <r>
    <s v="CUST0198"/>
    <s v="Ronnie Smith"/>
    <x v="4"/>
    <n v="48"/>
    <x v="0"/>
    <n v="273361"/>
    <n v="84910"/>
    <n v="106961"/>
    <x v="2"/>
    <s v="Inactive"/>
  </r>
  <r>
    <s v="CUST0199"/>
    <s v="Justin Daniels"/>
    <x v="0"/>
    <n v="30"/>
    <x v="0"/>
    <n v="461653"/>
    <n v="185518.09090909091"/>
    <n v="10221"/>
    <x v="1"/>
    <s v="Active"/>
  </r>
  <r>
    <s v="CUST0200"/>
    <s v="Joseph Edwards"/>
    <x v="3"/>
    <n v="33"/>
    <x v="0"/>
    <n v="3706"/>
    <n v="291665"/>
    <n v="47241"/>
    <x v="2"/>
    <s v="Inactive"/>
  </r>
  <r>
    <s v="CUST0201"/>
    <s v="Larry Brown"/>
    <x v="2"/>
    <n v="40"/>
    <x v="1"/>
    <n v="160888"/>
    <n v="201370"/>
    <n v="131358"/>
    <x v="1"/>
    <s v="Inactive"/>
  </r>
  <r>
    <s v="CUST0202"/>
    <s v="Michael Schroeder"/>
    <x v="3"/>
    <n v="31"/>
    <x v="0"/>
    <n v="173075"/>
    <n v="196861"/>
    <n v="38615"/>
    <x v="2"/>
    <s v="Inactive"/>
  </r>
  <r>
    <s v="CUST0203"/>
    <s v="Garrett Cherry"/>
    <x v="3"/>
    <n v="24"/>
    <x v="1"/>
    <n v="399985"/>
    <n v="29972"/>
    <n v="11539"/>
    <x v="0"/>
    <s v="Inactive"/>
  </r>
  <r>
    <s v="CUST0204"/>
    <s v="Arthur Mccarthy"/>
    <x v="0"/>
    <n v="43"/>
    <x v="1"/>
    <n v="369506"/>
    <n v="181233"/>
    <n v="104626"/>
    <x v="1"/>
    <s v="Active"/>
  </r>
  <r>
    <s v="CUST0205"/>
    <s v="Veronica Chaney"/>
    <x v="1"/>
    <n v="53"/>
    <x v="1"/>
    <n v="437459"/>
    <n v="8915"/>
    <n v="67898"/>
    <x v="1"/>
    <s v="Active"/>
  </r>
  <r>
    <s v="CUST0206"/>
    <s v="Cathy Hill"/>
    <x v="0"/>
    <n v="36"/>
    <x v="1"/>
    <n v="187536"/>
    <n v="75679"/>
    <n v="92037"/>
    <x v="0"/>
    <s v="Active"/>
  </r>
  <r>
    <s v="CUST0207"/>
    <s v="Jason Costa"/>
    <x v="2"/>
    <n v="49"/>
    <x v="0"/>
    <n v="279710"/>
    <n v="116645"/>
    <n v="77897"/>
    <x v="2"/>
    <s v="Active"/>
  </r>
  <r>
    <s v="CUST0208"/>
    <s v="Paul Duncan"/>
    <x v="4"/>
    <n v="33"/>
    <x v="1"/>
    <n v="379479"/>
    <n v="31375"/>
    <n v="106578"/>
    <x v="1"/>
    <s v="Inactive"/>
  </r>
  <r>
    <s v="CUST0209"/>
    <s v="Manuel Smith"/>
    <x v="1"/>
    <n v="58"/>
    <x v="1"/>
    <n v="441773"/>
    <n v="259703"/>
    <n v="39597"/>
    <x v="1"/>
    <s v="Inactive"/>
  </r>
  <r>
    <s v="CUST0210"/>
    <s v="Julie Hahn"/>
    <x v="2"/>
    <n v="41"/>
    <x v="1"/>
    <n v="27728"/>
    <n v="96516"/>
    <n v="16978"/>
    <x v="2"/>
    <s v="Active"/>
  </r>
  <r>
    <s v="CUST0211"/>
    <s v="Darren Wood"/>
    <x v="1"/>
    <n v="21"/>
    <x v="1"/>
    <n v="374804"/>
    <n v="131689"/>
    <n v="45773"/>
    <x v="2"/>
    <s v="Inactive"/>
  </r>
  <r>
    <s v="CUST0212"/>
    <s v="Tyler Castro"/>
    <x v="3"/>
    <n v="32"/>
    <x v="1"/>
    <n v="53731"/>
    <n v="50989"/>
    <n v="123390"/>
    <x v="0"/>
    <s v="Inactive"/>
  </r>
  <r>
    <s v="CUST0213"/>
    <s v="Amanda Hicks"/>
    <x v="2"/>
    <n v="40"/>
    <x v="0"/>
    <n v="252076.51219512196"/>
    <n v="117495"/>
    <n v="97688"/>
    <x v="2"/>
    <s v="Inactive"/>
  </r>
  <r>
    <s v="CUST0214"/>
    <s v="George Cox"/>
    <x v="4"/>
    <n v="39.868583162217661"/>
    <x v="1"/>
    <n v="467647"/>
    <n v="111897"/>
    <n v="90662"/>
    <x v="1"/>
    <s v="Inactive"/>
  </r>
  <r>
    <s v="CUST0215"/>
    <s v="Justin Smith"/>
    <x v="2"/>
    <n v="51"/>
    <x v="2"/>
    <n v="252076.51219512196"/>
    <n v="158368"/>
    <n v="123724"/>
    <x v="2"/>
    <s v="Active"/>
  </r>
  <r>
    <s v="CUST0216"/>
    <s v="Vernon Cooke"/>
    <x v="1"/>
    <n v="39.868583162217661"/>
    <x v="1"/>
    <n v="333141"/>
    <n v="103652"/>
    <n v="108797"/>
    <x v="0"/>
    <s v="Active"/>
  </r>
  <r>
    <s v="CUST0217"/>
    <s v="Tony Ramirez"/>
    <x v="0"/>
    <n v="40"/>
    <x v="0"/>
    <n v="198536"/>
    <n v="117919"/>
    <n v="146338"/>
    <x v="2"/>
    <s v="Active"/>
  </r>
  <r>
    <s v="CUST0218"/>
    <s v="Anthony Esparza"/>
    <x v="3"/>
    <n v="29"/>
    <x v="0"/>
    <n v="162643"/>
    <n v="232547"/>
    <n v="134424"/>
    <x v="2"/>
    <s v="Inactive"/>
  </r>
  <r>
    <s v="CUST0219"/>
    <s v="Frederick Valenzuela"/>
    <x v="1"/>
    <n v="57"/>
    <x v="2"/>
    <n v="355603"/>
    <n v="262024"/>
    <n v="53274"/>
    <x v="1"/>
    <s v="Active"/>
  </r>
  <r>
    <s v="CUST0220"/>
    <s v="Katherine Gonzalez"/>
    <x v="0"/>
    <n v="27"/>
    <x v="0"/>
    <n v="246510"/>
    <n v="252281"/>
    <n v="77699"/>
    <x v="1"/>
    <s v="Inactive"/>
  </r>
  <r>
    <s v="CUST0221"/>
    <s v="Keith Price"/>
    <x v="2"/>
    <n v="25"/>
    <x v="1"/>
    <n v="92489"/>
    <n v="68057"/>
    <n v="83366"/>
    <x v="0"/>
    <s v="Active"/>
  </r>
  <r>
    <s v="CUST0222"/>
    <s v="Angela Gillespie"/>
    <x v="4"/>
    <n v="40"/>
    <x v="1"/>
    <n v="449914"/>
    <n v="181459"/>
    <n v="97438"/>
    <x v="2"/>
    <s v="Active"/>
  </r>
  <r>
    <s v="CUST0223"/>
    <s v="Natalie Valencia"/>
    <x v="1"/>
    <n v="29"/>
    <x v="2"/>
    <n v="100430"/>
    <n v="229577"/>
    <n v="85300"/>
    <x v="0"/>
    <s v="Active"/>
  </r>
  <r>
    <s v="CUST0224"/>
    <s v="Lawrence Richardson"/>
    <x v="1"/>
    <n v="28"/>
    <x v="2"/>
    <n v="145754"/>
    <n v="10382"/>
    <n v="99604"/>
    <x v="0"/>
    <s v="Active"/>
  </r>
  <r>
    <s v="CUST0225"/>
    <s v="Brooke Wheeler"/>
    <x v="3"/>
    <n v="28"/>
    <x v="0"/>
    <n v="490192"/>
    <n v="260016"/>
    <n v="35474"/>
    <x v="1"/>
    <s v="Inactive"/>
  </r>
  <r>
    <s v="CUST0226"/>
    <s v="Michael Davis"/>
    <x v="2"/>
    <n v="38"/>
    <x v="0"/>
    <n v="455177"/>
    <n v="43604"/>
    <n v="110288"/>
    <x v="1"/>
    <s v="Inactive"/>
  </r>
  <r>
    <s v="CUST0227"/>
    <s v="Susan Martin"/>
    <x v="4"/>
    <n v="35"/>
    <x v="0"/>
    <n v="8503"/>
    <n v="141166"/>
    <n v="147723"/>
    <x v="0"/>
    <s v="Inactive"/>
  </r>
  <r>
    <s v="CUST0228"/>
    <s v="Patricia Dickson"/>
    <x v="4"/>
    <n v="44"/>
    <x v="0"/>
    <n v="66769"/>
    <n v="90077"/>
    <n v="30896"/>
    <x v="0"/>
    <s v="Inactive"/>
  </r>
  <r>
    <s v="CUST0229"/>
    <s v="Jay Mcbride"/>
    <x v="4"/>
    <n v="33"/>
    <x v="1"/>
    <n v="14098"/>
    <n v="261495"/>
    <n v="92688"/>
    <x v="2"/>
    <s v="Inactive"/>
  </r>
  <r>
    <s v="CUST0230"/>
    <s v="Ashley Jones"/>
    <x v="0"/>
    <n v="46"/>
    <x v="2"/>
    <n v="32423"/>
    <n v="92123"/>
    <n v="91434"/>
    <x v="2"/>
    <s v="Active"/>
  </r>
  <r>
    <s v="CUST0231"/>
    <s v="Matthew Andrews"/>
    <x v="3"/>
    <n v="43"/>
    <x v="0"/>
    <n v="495740"/>
    <n v="260742"/>
    <n v="65183"/>
    <x v="1"/>
    <s v="Active"/>
  </r>
  <r>
    <s v="CUST0232"/>
    <s v="Kevin Murphy"/>
    <x v="3"/>
    <n v="46"/>
    <x v="0"/>
    <n v="142692"/>
    <n v="89969"/>
    <n v="58843"/>
    <x v="0"/>
    <s v="Active"/>
  </r>
  <r>
    <s v="CUST0233"/>
    <s v="Shaun Weaver"/>
    <x v="4"/>
    <n v="47"/>
    <x v="1"/>
    <n v="39811"/>
    <n v="54376"/>
    <n v="132362"/>
    <x v="0"/>
    <s v="Active"/>
  </r>
  <r>
    <s v="CUST0234"/>
    <s v="Kimberly Ramirez"/>
    <x v="4"/>
    <n v="41"/>
    <x v="1"/>
    <n v="325458"/>
    <n v="124323.75"/>
    <n v="24131"/>
    <x v="2"/>
    <s v="Active"/>
  </r>
  <r>
    <s v="CUST0235"/>
    <s v="Cheryl Martinez"/>
    <x v="1"/>
    <n v="55"/>
    <x v="0"/>
    <n v="498884"/>
    <n v="157849"/>
    <n v="24981"/>
    <x v="1"/>
    <s v="Inactive"/>
  </r>
  <r>
    <s v="CUST0236"/>
    <s v="Paul Wells"/>
    <x v="2"/>
    <n v="28"/>
    <x v="0"/>
    <n v="367522"/>
    <n v="13770"/>
    <n v="18397"/>
    <x v="0"/>
    <s v="Inactive"/>
  </r>
  <r>
    <s v="CUST0237"/>
    <s v="James Young"/>
    <x v="2"/>
    <n v="30"/>
    <x v="0"/>
    <n v="74573"/>
    <n v="181531"/>
    <n v="101609"/>
    <x v="1"/>
    <s v="Active"/>
  </r>
  <r>
    <s v="CUST0238"/>
    <s v="Shawn Kerr"/>
    <x v="3"/>
    <n v="58"/>
    <x v="2"/>
    <n v="316401"/>
    <n v="126564"/>
    <n v="46627"/>
    <x v="2"/>
    <s v="Inactive"/>
  </r>
  <r>
    <s v="CUST0239"/>
    <s v="Kevin Wise"/>
    <x v="1"/>
    <n v="22"/>
    <x v="1"/>
    <n v="252076.51219512196"/>
    <n v="125610"/>
    <n v="144558"/>
    <x v="1"/>
    <s v="Active"/>
  </r>
  <r>
    <s v="CUST0240"/>
    <s v="Samuel Horn"/>
    <x v="3"/>
    <n v="44"/>
    <x v="1"/>
    <n v="392968"/>
    <n v="98440"/>
    <n v="104452"/>
    <x v="0"/>
    <s v="Inactive"/>
  </r>
  <r>
    <s v="CUST0241"/>
    <s v="Christina Harris"/>
    <x v="1"/>
    <n v="25"/>
    <x v="1"/>
    <n v="141019"/>
    <n v="237860"/>
    <n v="76026"/>
    <x v="0"/>
    <s v="Inactive"/>
  </r>
  <r>
    <s v="CUST0242"/>
    <s v="Caitlin Harrison"/>
    <x v="4"/>
    <n v="41"/>
    <x v="2"/>
    <n v="26355"/>
    <n v="288262"/>
    <n v="140545"/>
    <x v="0"/>
    <s v="Inactive"/>
  </r>
  <r>
    <s v="CUST0243"/>
    <s v="Erin Perez"/>
    <x v="2"/>
    <n v="39"/>
    <x v="0"/>
    <n v="33060"/>
    <n v="13304"/>
    <n v="68599"/>
    <x v="1"/>
    <s v="Active"/>
  </r>
  <r>
    <s v="CUST0244"/>
    <s v="Michael Johnson"/>
    <x v="2"/>
    <n v="29"/>
    <x v="0"/>
    <n v="225132"/>
    <n v="221918.58333333334"/>
    <n v="138186"/>
    <x v="2"/>
    <s v="Active"/>
  </r>
  <r>
    <s v="CUST0245"/>
    <s v="Donna Nelson"/>
    <x v="3"/>
    <n v="32"/>
    <x v="1"/>
    <n v="378162"/>
    <n v="29771"/>
    <n v="90666"/>
    <x v="1"/>
    <s v="Active"/>
  </r>
  <r>
    <s v="CUST0246"/>
    <s v="Nicole Osborne"/>
    <x v="0"/>
    <n v="51"/>
    <x v="1"/>
    <n v="445852"/>
    <n v="174166"/>
    <n v="40816"/>
    <x v="2"/>
    <s v="Inactive"/>
  </r>
  <r>
    <s v="CUST0247"/>
    <s v="Kathleen Pugh"/>
    <x v="4"/>
    <n v="28"/>
    <x v="1"/>
    <n v="374533"/>
    <n v="202684"/>
    <n v="58850"/>
    <x v="1"/>
    <s v="Inactive"/>
  </r>
  <r>
    <s v="CUST0248"/>
    <s v="Christopher Mendoza"/>
    <x v="3"/>
    <n v="25"/>
    <x v="0"/>
    <n v="252076.51219512196"/>
    <n v="229631"/>
    <n v="10023"/>
    <x v="0"/>
    <s v="Active"/>
  </r>
  <r>
    <s v="CUST0249"/>
    <s v="Chloe Matthews"/>
    <x v="4"/>
    <n v="39.868583162217661"/>
    <x v="0"/>
    <n v="64757"/>
    <n v="137797"/>
    <n v="81626"/>
    <x v="1"/>
    <s v="Inactive"/>
  </r>
  <r>
    <s v="CUST0250"/>
    <s v="Brent Montes"/>
    <x v="0"/>
    <n v="46"/>
    <x v="0"/>
    <n v="200473"/>
    <n v="198367"/>
    <n v="18240"/>
    <x v="1"/>
    <s v="Active"/>
  </r>
  <r>
    <s v="CUST0251"/>
    <s v="Brittany Lopez"/>
    <x v="1"/>
    <n v="29"/>
    <x v="1"/>
    <n v="133874"/>
    <n v="230994"/>
    <n v="60374"/>
    <x v="1"/>
    <s v="Active"/>
  </r>
  <r>
    <s v="CUST0252"/>
    <s v="Patrick Butler"/>
    <x v="3"/>
    <n v="32"/>
    <x v="0"/>
    <n v="120800"/>
    <n v="193983"/>
    <n v="72555"/>
    <x v="2"/>
    <s v="Inactive"/>
  </r>
  <r>
    <s v="CUST0253"/>
    <s v="Brianna White"/>
    <x v="2"/>
    <n v="21"/>
    <x v="0"/>
    <n v="24494"/>
    <n v="113155"/>
    <n v="10107"/>
    <x v="1"/>
    <s v="Active"/>
  </r>
  <r>
    <s v="CUST0254"/>
    <s v="Brandon Sullivan"/>
    <x v="0"/>
    <n v="43"/>
    <x v="1"/>
    <n v="60001"/>
    <n v="242413"/>
    <n v="12218"/>
    <x v="2"/>
    <s v="Active"/>
  </r>
  <r>
    <s v="CUST0255"/>
    <s v="Sarah Johnson"/>
    <x v="0"/>
    <n v="44"/>
    <x v="0"/>
    <n v="3592"/>
    <n v="100851"/>
    <n v="62228"/>
    <x v="0"/>
    <s v="Inactive"/>
  </r>
  <r>
    <s v="CUST0256"/>
    <s v="Connor Callahan"/>
    <x v="1"/>
    <n v="33"/>
    <x v="1"/>
    <n v="181826"/>
    <n v="165665"/>
    <n v="88736"/>
    <x v="1"/>
    <s v="Active"/>
  </r>
  <r>
    <s v="CUST0257"/>
    <s v="Elizabeth Cohen"/>
    <x v="2"/>
    <n v="54"/>
    <x v="0"/>
    <n v="394037"/>
    <n v="3311"/>
    <n v="135619"/>
    <x v="1"/>
    <s v="Inactive"/>
  </r>
  <r>
    <s v="CUST0258"/>
    <s v="Lindsay Ramirez"/>
    <x v="4"/>
    <n v="21"/>
    <x v="1"/>
    <n v="408755"/>
    <n v="188114"/>
    <n v="137618"/>
    <x v="1"/>
    <s v="Inactive"/>
  </r>
  <r>
    <s v="CUST0259"/>
    <s v="Teresa Taylor"/>
    <x v="0"/>
    <n v="31"/>
    <x v="1"/>
    <n v="108050"/>
    <n v="184413.71428571429"/>
    <n v="93221"/>
    <x v="0"/>
    <s v="Inactive"/>
  </r>
  <r>
    <s v="CUST0260"/>
    <s v="William Ortega"/>
    <x v="4"/>
    <n v="39"/>
    <x v="0"/>
    <n v="100244"/>
    <n v="145189.71428571429"/>
    <n v="134279"/>
    <x v="1"/>
    <s v="Active"/>
  </r>
  <r>
    <s v="CUST0261"/>
    <s v="Bobby Turner"/>
    <x v="0"/>
    <n v="29"/>
    <x v="1"/>
    <n v="61657"/>
    <n v="221835"/>
    <n v="117826"/>
    <x v="1"/>
    <s v="Active"/>
  </r>
  <r>
    <s v="CUST0262"/>
    <s v="Kristin Martinez"/>
    <x v="2"/>
    <n v="57"/>
    <x v="1"/>
    <n v="409796"/>
    <n v="183156"/>
    <n v="139715"/>
    <x v="0"/>
    <s v="Active"/>
  </r>
  <r>
    <s v="CUST0263"/>
    <s v="Lauren Hood"/>
    <x v="3"/>
    <n v="54"/>
    <x v="1"/>
    <n v="301288"/>
    <n v="246304"/>
    <n v="87492"/>
    <x v="0"/>
    <s v="Active"/>
  </r>
  <r>
    <s v="CUST0264"/>
    <s v="Cheryl Odonnell"/>
    <x v="2"/>
    <n v="45"/>
    <x v="1"/>
    <n v="415236"/>
    <n v="217909"/>
    <n v="58843"/>
    <x v="0"/>
    <s v="Active"/>
  </r>
  <r>
    <s v="CUST0265"/>
    <s v="Susan Fuller"/>
    <x v="1"/>
    <n v="28"/>
    <x v="1"/>
    <n v="145056"/>
    <n v="138211"/>
    <n v="105442"/>
    <x v="0"/>
    <s v="Inactive"/>
  </r>
  <r>
    <s v="CUST0266"/>
    <s v="Robert Robinson"/>
    <x v="4"/>
    <n v="38"/>
    <x v="1"/>
    <n v="138652"/>
    <n v="40718"/>
    <n v="148569"/>
    <x v="1"/>
    <s v="Active"/>
  </r>
  <r>
    <s v="CUST0267"/>
    <s v="Connor Lucas"/>
    <x v="0"/>
    <n v="59"/>
    <x v="0"/>
    <n v="317699"/>
    <n v="142775"/>
    <n v="14876"/>
    <x v="2"/>
    <s v="Inactive"/>
  </r>
  <r>
    <s v="CUST0268"/>
    <s v="Brian Ryan"/>
    <x v="0"/>
    <n v="50"/>
    <x v="2"/>
    <n v="439957"/>
    <n v="142534"/>
    <n v="97398"/>
    <x v="2"/>
    <s v="Inactive"/>
  </r>
  <r>
    <s v="CUST0269"/>
    <s v="Jeff Davis"/>
    <x v="0"/>
    <n v="37"/>
    <x v="0"/>
    <n v="413130"/>
    <n v="264306"/>
    <n v="39586"/>
    <x v="1"/>
    <s v="Active"/>
  </r>
  <r>
    <s v="CUST0270"/>
    <s v="Melissa Arellano"/>
    <x v="2"/>
    <n v="39.868583162217661"/>
    <x v="0"/>
    <n v="351783"/>
    <n v="9680"/>
    <n v="140390"/>
    <x v="1"/>
    <s v="Inactive"/>
  </r>
  <r>
    <s v="CUST0271"/>
    <s v="Amber Harris"/>
    <x v="1"/>
    <n v="43"/>
    <x v="1"/>
    <n v="102373"/>
    <n v="154006.86666666667"/>
    <n v="149188"/>
    <x v="1"/>
    <s v="Inactive"/>
  </r>
  <r>
    <s v="CUST0272"/>
    <s v="Kimberly Johnson"/>
    <x v="1"/>
    <n v="23"/>
    <x v="2"/>
    <n v="287024"/>
    <n v="126404"/>
    <n v="89780"/>
    <x v="0"/>
    <s v="Active"/>
  </r>
  <r>
    <s v="CUST0273"/>
    <s v="Michelle Wells"/>
    <x v="2"/>
    <n v="22"/>
    <x v="1"/>
    <n v="172316"/>
    <n v="44055"/>
    <n v="42063"/>
    <x v="0"/>
    <s v="Inactive"/>
  </r>
  <r>
    <s v="CUST0274"/>
    <s v="Richard Miller"/>
    <x v="3"/>
    <n v="56"/>
    <x v="0"/>
    <n v="438601"/>
    <n v="150939"/>
    <n v="21949"/>
    <x v="0"/>
    <s v="Active"/>
  </r>
  <r>
    <s v="CUST0275"/>
    <s v="Brandy Bradley"/>
    <x v="0"/>
    <n v="55"/>
    <x v="1"/>
    <n v="324788"/>
    <n v="147091.55555555556"/>
    <n v="93677"/>
    <x v="1"/>
    <s v="Active"/>
  </r>
  <r>
    <s v="CUST0276"/>
    <s v="Isabella Marks"/>
    <x v="4"/>
    <n v="29"/>
    <x v="0"/>
    <n v="175719"/>
    <n v="221918.58333333334"/>
    <n v="60758"/>
    <x v="1"/>
    <s v="Inactive"/>
  </r>
  <r>
    <s v="CUST0277"/>
    <s v="Erica Peters"/>
    <x v="1"/>
    <n v="36"/>
    <x v="0"/>
    <n v="309930"/>
    <n v="7258"/>
    <n v="63114"/>
    <x v="1"/>
    <s v="Inactive"/>
  </r>
  <r>
    <s v="CUST0278"/>
    <s v="Jill George"/>
    <x v="2"/>
    <n v="25"/>
    <x v="0"/>
    <n v="147276"/>
    <n v="236753"/>
    <n v="73692"/>
    <x v="0"/>
    <s v="Active"/>
  </r>
  <r>
    <s v="CUST0279"/>
    <s v="Haley Holden"/>
    <x v="4"/>
    <n v="24"/>
    <x v="0"/>
    <n v="240261"/>
    <n v="138634.69230769231"/>
    <n v="116997"/>
    <x v="1"/>
    <s v="Inactive"/>
  </r>
  <r>
    <s v="CUST0280"/>
    <s v="Amanda Harris"/>
    <x v="0"/>
    <n v="46"/>
    <x v="1"/>
    <n v="252076.51219512196"/>
    <n v="120478"/>
    <n v="69931"/>
    <x v="1"/>
    <s v="Inactive"/>
  </r>
  <r>
    <s v="CUST0281"/>
    <s v="Kenneth Brown"/>
    <x v="0"/>
    <n v="49"/>
    <x v="0"/>
    <n v="375152"/>
    <n v="52031"/>
    <n v="37560"/>
    <x v="1"/>
    <s v="Inactive"/>
  </r>
  <r>
    <s v="CUST0282"/>
    <s v="Justin Hahn"/>
    <x v="2"/>
    <n v="33"/>
    <x v="1"/>
    <n v="151168"/>
    <n v="156800.92307692306"/>
    <n v="44654"/>
    <x v="2"/>
    <s v="Inactive"/>
  </r>
  <r>
    <s v="CUST0283"/>
    <s v="Gary Johnson"/>
    <x v="1"/>
    <n v="53"/>
    <x v="0"/>
    <n v="217784"/>
    <n v="134964.83333333334"/>
    <n v="42272"/>
    <x v="0"/>
    <s v="Inactive"/>
  </r>
  <r>
    <s v="CUST0284"/>
    <s v="Michele Allison"/>
    <x v="2"/>
    <n v="56"/>
    <x v="1"/>
    <n v="252076.51219512196"/>
    <n v="75127"/>
    <n v="22604"/>
    <x v="0"/>
    <s v="Inactive"/>
  </r>
  <r>
    <s v="CUST0285"/>
    <s v="Ryan Gordon"/>
    <x v="1"/>
    <n v="57"/>
    <x v="1"/>
    <n v="185466"/>
    <n v="152416.23076923078"/>
    <n v="11672"/>
    <x v="1"/>
    <s v="Active"/>
  </r>
  <r>
    <s v="CUST0286"/>
    <s v="Tony Stone"/>
    <x v="0"/>
    <n v="57"/>
    <x v="1"/>
    <n v="248370"/>
    <n v="152416.23076923078"/>
    <n v="85731"/>
    <x v="0"/>
    <s v="Inactive"/>
  </r>
  <r>
    <s v="CUST0287"/>
    <s v="Steven Clark"/>
    <x v="1"/>
    <n v="28"/>
    <x v="0"/>
    <n v="252076.51219512196"/>
    <n v="13072"/>
    <n v="85152"/>
    <x v="2"/>
    <s v="Active"/>
  </r>
  <r>
    <s v="CUST0288"/>
    <s v="Amber Stevens"/>
    <x v="4"/>
    <n v="24"/>
    <x v="0"/>
    <n v="312844"/>
    <n v="199971"/>
    <n v="118458"/>
    <x v="2"/>
    <s v="Active"/>
  </r>
  <r>
    <s v="CUST0289"/>
    <s v="James Holmes"/>
    <x v="3"/>
    <n v="49"/>
    <x v="1"/>
    <n v="376953"/>
    <n v="94341"/>
    <n v="17170"/>
    <x v="0"/>
    <s v="Inactive"/>
  </r>
  <r>
    <s v="CUST0290"/>
    <s v="Jodi Owens"/>
    <x v="3"/>
    <n v="47"/>
    <x v="0"/>
    <n v="453324"/>
    <n v="230328"/>
    <n v="142772"/>
    <x v="1"/>
    <s v="Inactive"/>
  </r>
  <r>
    <s v="CUST0291"/>
    <s v="Jessica Kirk"/>
    <x v="2"/>
    <n v="56"/>
    <x v="0"/>
    <n v="305353"/>
    <n v="44907"/>
    <n v="66591"/>
    <x v="0"/>
    <s v="Active"/>
  </r>
  <r>
    <s v="CUST0292"/>
    <s v="Jessica Thompson"/>
    <x v="3"/>
    <n v="25"/>
    <x v="2"/>
    <n v="36302"/>
    <n v="118953"/>
    <n v="23718"/>
    <x v="1"/>
    <s v="Active"/>
  </r>
  <r>
    <s v="CUST0293"/>
    <s v="Ashley Weaver"/>
    <x v="1"/>
    <n v="25"/>
    <x v="1"/>
    <n v="490291"/>
    <n v="199503"/>
    <n v="93843"/>
    <x v="0"/>
    <s v="Inactive"/>
  </r>
  <r>
    <s v="CUST0294"/>
    <s v="Timothy Baker"/>
    <x v="0"/>
    <n v="21"/>
    <x v="0"/>
    <n v="458301"/>
    <n v="3017"/>
    <n v="69782"/>
    <x v="0"/>
    <s v="Active"/>
  </r>
  <r>
    <s v="CUST0295"/>
    <s v="Nancy Larsen"/>
    <x v="4"/>
    <n v="31"/>
    <x v="0"/>
    <n v="165946"/>
    <n v="246730"/>
    <n v="87788"/>
    <x v="1"/>
    <s v="Active"/>
  </r>
  <r>
    <s v="CUST0296"/>
    <s v="Kevin Crosby"/>
    <x v="1"/>
    <n v="31"/>
    <x v="0"/>
    <n v="222749"/>
    <n v="52686"/>
    <n v="132427"/>
    <x v="0"/>
    <s v="Inactive"/>
  </r>
  <r>
    <s v="CUST0297"/>
    <s v="Tommy Baker"/>
    <x v="1"/>
    <n v="49"/>
    <x v="1"/>
    <n v="345725"/>
    <n v="112694"/>
    <n v="28135"/>
    <x v="2"/>
    <s v="Inactive"/>
  </r>
  <r>
    <s v="CUST0298"/>
    <s v="David Ramirez"/>
    <x v="4"/>
    <n v="48"/>
    <x v="0"/>
    <n v="252076.51219512196"/>
    <n v="263971"/>
    <n v="28575"/>
    <x v="2"/>
    <s v="Active"/>
  </r>
  <r>
    <s v="CUST0299"/>
    <s v="William Stephens"/>
    <x v="0"/>
    <n v="46"/>
    <x v="1"/>
    <n v="183901"/>
    <n v="177542"/>
    <n v="95568"/>
    <x v="1"/>
    <s v="Inactive"/>
  </r>
  <r>
    <s v="CUST0300"/>
    <s v="Tracy Palmer"/>
    <x v="3"/>
    <n v="53"/>
    <x v="0"/>
    <n v="403540"/>
    <n v="204089"/>
    <n v="129090"/>
    <x v="1"/>
    <s v="Active"/>
  </r>
  <r>
    <s v="CUST0301"/>
    <s v="Marc Greene"/>
    <x v="2"/>
    <n v="38"/>
    <x v="1"/>
    <n v="252076.51219512196"/>
    <n v="135637"/>
    <n v="70852"/>
    <x v="2"/>
    <s v="Active"/>
  </r>
  <r>
    <s v="CUST0302"/>
    <s v="Michael Bailey"/>
    <x v="2"/>
    <n v="50"/>
    <x v="2"/>
    <n v="398645"/>
    <n v="8577"/>
    <n v="23013"/>
    <x v="1"/>
    <s v="Active"/>
  </r>
  <r>
    <s v="CUST0303"/>
    <s v="James Ortega"/>
    <x v="1"/>
    <n v="30"/>
    <x v="2"/>
    <n v="306261"/>
    <n v="269798"/>
    <n v="80635"/>
    <x v="1"/>
    <s v="Inactive"/>
  </r>
  <r>
    <s v="CUST0304"/>
    <s v="Jennifer Wiley"/>
    <x v="3"/>
    <n v="57"/>
    <x v="0"/>
    <n v="272810"/>
    <n v="224390"/>
    <n v="54434"/>
    <x v="1"/>
    <s v="Active"/>
  </r>
  <r>
    <s v="CUST0305"/>
    <s v="Melissa Neal"/>
    <x v="3"/>
    <n v="44"/>
    <x v="1"/>
    <n v="312807"/>
    <n v="192625"/>
    <n v="82424"/>
    <x v="2"/>
    <s v="Active"/>
  </r>
  <r>
    <s v="CUST0306"/>
    <s v="Timothy Wright"/>
    <x v="3"/>
    <n v="27"/>
    <x v="0"/>
    <n v="251648"/>
    <n v="103172"/>
    <n v="26129"/>
    <x v="2"/>
    <s v="Inactive"/>
  </r>
  <r>
    <s v="CUST0307"/>
    <s v="Deborah Sexton"/>
    <x v="4"/>
    <n v="27"/>
    <x v="1"/>
    <n v="67974"/>
    <n v="87618"/>
    <n v="44357"/>
    <x v="1"/>
    <s v="Active"/>
  </r>
  <r>
    <s v="CUST0308"/>
    <s v="Alyssa Miller"/>
    <x v="3"/>
    <n v="22"/>
    <x v="1"/>
    <n v="485485"/>
    <n v="18784"/>
    <n v="93813"/>
    <x v="0"/>
    <s v="Inactive"/>
  </r>
  <r>
    <s v="CUST0309"/>
    <s v="Rebecca Diaz"/>
    <x v="4"/>
    <n v="54"/>
    <x v="1"/>
    <n v="109958"/>
    <n v="107125"/>
    <n v="127145"/>
    <x v="0"/>
    <s v="Inactive"/>
  </r>
  <r>
    <s v="CUST0310"/>
    <s v="Sara Villa"/>
    <x v="0"/>
    <n v="43"/>
    <x v="2"/>
    <n v="278282"/>
    <n v="29959"/>
    <n v="142328"/>
    <x v="0"/>
    <s v="Active"/>
  </r>
  <r>
    <s v="CUST0311"/>
    <s v="Joseph Robinson"/>
    <x v="0"/>
    <n v="50"/>
    <x v="1"/>
    <n v="355771"/>
    <n v="142039"/>
    <n v="41859"/>
    <x v="2"/>
    <s v="Active"/>
  </r>
  <r>
    <s v="CUST0312"/>
    <s v="Amy Guzman"/>
    <x v="3"/>
    <n v="57"/>
    <x v="2"/>
    <n v="45970"/>
    <n v="128766"/>
    <n v="125001"/>
    <x v="2"/>
    <s v="Active"/>
  </r>
  <r>
    <s v="CUST0313"/>
    <s v="Samantha Williams"/>
    <x v="2"/>
    <n v="48"/>
    <x v="2"/>
    <n v="252076.51219512196"/>
    <n v="206990"/>
    <n v="54111"/>
    <x v="1"/>
    <s v="Inactive"/>
  </r>
  <r>
    <s v="CUST0314"/>
    <s v="Adam Jones"/>
    <x v="1"/>
    <n v="53"/>
    <x v="1"/>
    <n v="157820"/>
    <n v="64024"/>
    <n v="87134"/>
    <x v="2"/>
    <s v="Active"/>
  </r>
  <r>
    <s v="CUST0315"/>
    <s v="Lori Hoffman"/>
    <x v="2"/>
    <n v="26"/>
    <x v="2"/>
    <n v="176152"/>
    <n v="295988"/>
    <n v="99815"/>
    <x v="0"/>
    <s v="Active"/>
  </r>
  <r>
    <s v="CUST0316"/>
    <s v="John Walker"/>
    <x v="1"/>
    <n v="58"/>
    <x v="0"/>
    <n v="287850"/>
    <n v="126707"/>
    <n v="35430"/>
    <x v="0"/>
    <s v="Active"/>
  </r>
  <r>
    <s v="CUST0317"/>
    <s v="Jonathan Black"/>
    <x v="4"/>
    <n v="50"/>
    <x v="0"/>
    <n v="252076.51219512196"/>
    <n v="165647"/>
    <n v="128389"/>
    <x v="0"/>
    <s v="Inactive"/>
  </r>
  <r>
    <s v="CUST0318"/>
    <s v="Kristina Lawrence"/>
    <x v="4"/>
    <n v="50"/>
    <x v="1"/>
    <n v="77356"/>
    <n v="224656"/>
    <n v="39771"/>
    <x v="1"/>
    <s v="Inactive"/>
  </r>
  <r>
    <s v="CUST0319"/>
    <s v="Ashley Mckee"/>
    <x v="3"/>
    <n v="53"/>
    <x v="0"/>
    <n v="115703"/>
    <n v="134964.83333333334"/>
    <n v="33155"/>
    <x v="2"/>
    <s v="Inactive"/>
  </r>
  <r>
    <s v="CUST0320"/>
    <s v="Morgan Hoffman"/>
    <x v="1"/>
    <n v="28"/>
    <x v="1"/>
    <n v="119331"/>
    <n v="53706"/>
    <n v="112694"/>
    <x v="0"/>
    <s v="Inactive"/>
  </r>
  <r>
    <s v="CUST0321"/>
    <s v="Andrew Holmes"/>
    <x v="0"/>
    <n v="36"/>
    <x v="0"/>
    <n v="257047"/>
    <n v="64877"/>
    <n v="35938"/>
    <x v="1"/>
    <s v="Inactive"/>
  </r>
  <r>
    <s v="CUST0322"/>
    <s v="Lisa Gonzalez"/>
    <x v="1"/>
    <n v="28"/>
    <x v="1"/>
    <n v="212599"/>
    <n v="223891"/>
    <n v="107628"/>
    <x v="2"/>
    <s v="Active"/>
  </r>
  <r>
    <s v="CUST0323"/>
    <s v="Lisa Smith"/>
    <x v="2"/>
    <n v="39"/>
    <x v="2"/>
    <n v="298336"/>
    <n v="266155"/>
    <n v="132740"/>
    <x v="0"/>
    <s v="Active"/>
  </r>
  <r>
    <s v="CUST0324"/>
    <s v="Alejandra Mullins"/>
    <x v="0"/>
    <n v="41"/>
    <x v="0"/>
    <n v="297902"/>
    <n v="118874"/>
    <n v="125811"/>
    <x v="1"/>
    <s v="Inactive"/>
  </r>
  <r>
    <s v="CUST0325"/>
    <s v="Amy Ward"/>
    <x v="0"/>
    <n v="33"/>
    <x v="0"/>
    <n v="404473"/>
    <n v="114030"/>
    <n v="134260"/>
    <x v="0"/>
    <s v="Active"/>
  </r>
  <r>
    <s v="CUST0326"/>
    <s v="Kimberly Jones"/>
    <x v="4"/>
    <n v="26"/>
    <x v="1"/>
    <n v="22755"/>
    <n v="44105"/>
    <n v="119698"/>
    <x v="1"/>
    <s v="Active"/>
  </r>
  <r>
    <s v="CUST0327"/>
    <s v="Dennis Eaton"/>
    <x v="0"/>
    <n v="50"/>
    <x v="0"/>
    <n v="252076.51219512196"/>
    <n v="5313"/>
    <n v="73994"/>
    <x v="2"/>
    <s v="Active"/>
  </r>
  <r>
    <s v="CUST0328"/>
    <s v="Stephen Edwards"/>
    <x v="1"/>
    <n v="28"/>
    <x v="0"/>
    <n v="252076.51219512196"/>
    <n v="42716"/>
    <n v="124454"/>
    <x v="1"/>
    <s v="Active"/>
  </r>
  <r>
    <s v="CUST0329"/>
    <s v="Emily Wright"/>
    <x v="1"/>
    <n v="27"/>
    <x v="2"/>
    <n v="290084"/>
    <n v="46043"/>
    <n v="41016"/>
    <x v="0"/>
    <s v="Inactive"/>
  </r>
  <r>
    <s v="CUST0330"/>
    <s v="Danielle Parker"/>
    <x v="0"/>
    <n v="46"/>
    <x v="0"/>
    <n v="170467"/>
    <n v="135825"/>
    <n v="109158"/>
    <x v="2"/>
    <s v="Inactive"/>
  </r>
  <r>
    <s v="CUST0331"/>
    <s v="Renee Johnson"/>
    <x v="3"/>
    <n v="49"/>
    <x v="2"/>
    <n v="204803"/>
    <n v="32528"/>
    <n v="63634"/>
    <x v="1"/>
    <s v="Inactive"/>
  </r>
  <r>
    <s v="CUST0332"/>
    <s v="Thomas Schmidt"/>
    <x v="0"/>
    <n v="25"/>
    <x v="1"/>
    <n v="80008"/>
    <n v="277616"/>
    <n v="147411"/>
    <x v="0"/>
    <s v="Inactive"/>
  </r>
  <r>
    <s v="CUST0333"/>
    <s v="Trevor Gill"/>
    <x v="2"/>
    <n v="49"/>
    <x v="1"/>
    <n v="343663"/>
    <n v="214206"/>
    <n v="98557"/>
    <x v="1"/>
    <s v="Active"/>
  </r>
  <r>
    <s v="CUST0334"/>
    <s v="Jordan Arnold"/>
    <x v="3"/>
    <n v="35"/>
    <x v="1"/>
    <n v="9875"/>
    <n v="172030"/>
    <n v="52296"/>
    <x v="0"/>
    <s v="Active"/>
  </r>
  <r>
    <s v="CUST0335"/>
    <s v="Marie Hurley"/>
    <x v="2"/>
    <n v="21"/>
    <x v="1"/>
    <n v="252076.51219512196"/>
    <n v="175040"/>
    <n v="85623"/>
    <x v="0"/>
    <s v="Active"/>
  </r>
  <r>
    <s v="CUST0336"/>
    <s v="Victoria James"/>
    <x v="2"/>
    <n v="45"/>
    <x v="1"/>
    <n v="498449"/>
    <n v="8916"/>
    <n v="16561"/>
    <x v="1"/>
    <s v="Inactive"/>
  </r>
  <r>
    <s v="CUST0337"/>
    <s v="Brandon Woodard"/>
    <x v="4"/>
    <n v="32"/>
    <x v="1"/>
    <n v="252076.51219512196"/>
    <n v="17147"/>
    <n v="126727"/>
    <x v="0"/>
    <s v="Active"/>
  </r>
  <r>
    <s v="CUST0338"/>
    <s v="Margaret Bennett"/>
    <x v="2"/>
    <n v="31"/>
    <x v="1"/>
    <n v="4732"/>
    <n v="240273"/>
    <n v="104443"/>
    <x v="1"/>
    <s v="Active"/>
  </r>
  <r>
    <s v="CUST0339"/>
    <s v="Scott Lambert"/>
    <x v="0"/>
    <n v="24"/>
    <x v="1"/>
    <n v="8059"/>
    <n v="225947"/>
    <n v="49929"/>
    <x v="2"/>
    <s v="Active"/>
  </r>
  <r>
    <s v="CUST0340"/>
    <s v="Paul Baldwin"/>
    <x v="0"/>
    <n v="59"/>
    <x v="1"/>
    <n v="172506"/>
    <n v="16556"/>
    <n v="122532"/>
    <x v="0"/>
    <s v="Active"/>
  </r>
  <r>
    <s v="CUST0341"/>
    <s v="Megan Jackson"/>
    <x v="2"/>
    <n v="24"/>
    <x v="1"/>
    <n v="378948"/>
    <n v="170870"/>
    <n v="61035"/>
    <x v="2"/>
    <s v="Active"/>
  </r>
  <r>
    <s v="CUST0342"/>
    <s v="Jeremy Baldwin"/>
    <x v="3"/>
    <n v="49"/>
    <x v="2"/>
    <n v="41359"/>
    <n v="85198"/>
    <n v="70505"/>
    <x v="0"/>
    <s v="Active"/>
  </r>
  <r>
    <s v="CUST0343"/>
    <s v="Veronica Shelton"/>
    <x v="2"/>
    <n v="59"/>
    <x v="1"/>
    <n v="375375"/>
    <n v="174756"/>
    <n v="81729"/>
    <x v="1"/>
    <s v="Active"/>
  </r>
  <r>
    <s v="CUST0344"/>
    <s v="Debra Weaver"/>
    <x v="4"/>
    <n v="50"/>
    <x v="0"/>
    <n v="336760"/>
    <n v="126805"/>
    <n v="32209"/>
    <x v="1"/>
    <s v="Active"/>
  </r>
  <r>
    <s v="CUST0345"/>
    <s v="William Lawrence"/>
    <x v="4"/>
    <n v="55"/>
    <x v="1"/>
    <n v="320319"/>
    <n v="40592"/>
    <n v="115131"/>
    <x v="2"/>
    <s v="Active"/>
  </r>
  <r>
    <s v="CUST0346"/>
    <s v="Kayla Mcconnell"/>
    <x v="3"/>
    <n v="56"/>
    <x v="1"/>
    <n v="62048"/>
    <n v="240071"/>
    <n v="16656"/>
    <x v="2"/>
    <s v="Inactive"/>
  </r>
  <r>
    <s v="CUST0347"/>
    <s v="Robin Miranda"/>
    <x v="4"/>
    <n v="34"/>
    <x v="1"/>
    <n v="131492"/>
    <n v="202927"/>
    <n v="60858"/>
    <x v="0"/>
    <s v="Inactive"/>
  </r>
  <r>
    <s v="CUST0348"/>
    <s v="Zachary Martinez"/>
    <x v="1"/>
    <n v="52"/>
    <x v="2"/>
    <n v="219681"/>
    <n v="217472"/>
    <n v="147457"/>
    <x v="0"/>
    <s v="Inactive"/>
  </r>
  <r>
    <s v="CUST0349"/>
    <s v="Denise Henderson"/>
    <x v="1"/>
    <n v="33"/>
    <x v="0"/>
    <n v="174752"/>
    <n v="53222"/>
    <n v="75892"/>
    <x v="2"/>
    <s v="Active"/>
  </r>
  <r>
    <s v="CUST0350"/>
    <s v="Linda Gould"/>
    <x v="1"/>
    <n v="37"/>
    <x v="0"/>
    <n v="192495"/>
    <n v="48295"/>
    <n v="106034"/>
    <x v="2"/>
    <s v="Active"/>
  </r>
  <r>
    <s v="CUST0351"/>
    <s v="Jessica Johnson"/>
    <x v="1"/>
    <n v="55"/>
    <x v="1"/>
    <n v="336350"/>
    <n v="18182"/>
    <n v="113090"/>
    <x v="1"/>
    <s v="Inactive"/>
  </r>
  <r>
    <s v="CUST0352"/>
    <s v="Rachel Bauer"/>
    <x v="2"/>
    <n v="30"/>
    <x v="0"/>
    <n v="232334"/>
    <n v="192846"/>
    <n v="107785"/>
    <x v="0"/>
    <s v="Inactive"/>
  </r>
  <r>
    <s v="CUST0353"/>
    <s v="Michele Moss"/>
    <x v="2"/>
    <n v="49"/>
    <x v="0"/>
    <n v="321848"/>
    <n v="278204"/>
    <n v="51310"/>
    <x v="0"/>
    <s v="Active"/>
  </r>
  <r>
    <s v="CUST0354"/>
    <s v="William Blackwell"/>
    <x v="0"/>
    <n v="58"/>
    <x v="2"/>
    <n v="436251"/>
    <n v="266972"/>
    <n v="75556"/>
    <x v="1"/>
    <s v="Inactive"/>
  </r>
  <r>
    <s v="CUST0355"/>
    <s v="Antonio Underwood"/>
    <x v="2"/>
    <n v="35"/>
    <x v="0"/>
    <n v="214107"/>
    <n v="149662"/>
    <n v="108410"/>
    <x v="1"/>
    <s v="Active"/>
  </r>
  <r>
    <s v="CUST0356"/>
    <s v="Gerald Gonzalez"/>
    <x v="1"/>
    <n v="39.868583162217661"/>
    <x v="0"/>
    <n v="278509"/>
    <n v="72745"/>
    <n v="45862"/>
    <x v="0"/>
    <s v="Inactive"/>
  </r>
  <r>
    <s v="CUST0357"/>
    <s v="Garrett Guerra"/>
    <x v="3"/>
    <n v="48"/>
    <x v="0"/>
    <n v="57117"/>
    <n v="53915"/>
    <n v="117766"/>
    <x v="2"/>
    <s v="Active"/>
  </r>
  <r>
    <s v="CUST0358"/>
    <s v="John Garcia"/>
    <x v="1"/>
    <n v="43"/>
    <x v="1"/>
    <n v="396455"/>
    <n v="93598"/>
    <n v="65578"/>
    <x v="1"/>
    <s v="Inactive"/>
  </r>
  <r>
    <s v="CUST0359"/>
    <s v="Jeffrey Mathews"/>
    <x v="2"/>
    <n v="47"/>
    <x v="2"/>
    <n v="90614"/>
    <n v="189968"/>
    <n v="92863"/>
    <x v="0"/>
    <s v="Active"/>
  </r>
  <r>
    <s v="CUST0360"/>
    <s v="Samantha Banks"/>
    <x v="0"/>
    <n v="21"/>
    <x v="0"/>
    <n v="111730"/>
    <n v="155929"/>
    <n v="112465"/>
    <x v="2"/>
    <s v="Active"/>
  </r>
  <r>
    <s v="CUST0361"/>
    <s v="Kaitlin Romero"/>
    <x v="2"/>
    <n v="30"/>
    <x v="1"/>
    <n v="44023"/>
    <n v="47631"/>
    <n v="32958"/>
    <x v="2"/>
    <s v="Inactive"/>
  </r>
  <r>
    <s v="CUST0362"/>
    <s v="Brad Davis"/>
    <x v="3"/>
    <n v="42"/>
    <x v="1"/>
    <n v="252076.51219512196"/>
    <n v="124211.14285714286"/>
    <n v="48171"/>
    <x v="1"/>
    <s v="Active"/>
  </r>
  <r>
    <s v="CUST0363"/>
    <s v="Crystal Foster"/>
    <x v="3"/>
    <n v="57"/>
    <x v="2"/>
    <n v="44348"/>
    <n v="68666"/>
    <n v="37097"/>
    <x v="0"/>
    <s v="Active"/>
  </r>
  <r>
    <s v="CUST0364"/>
    <s v="Amanda Mays"/>
    <x v="1"/>
    <n v="43"/>
    <x v="2"/>
    <n v="466548"/>
    <n v="22733"/>
    <n v="34409"/>
    <x v="0"/>
    <s v="Active"/>
  </r>
  <r>
    <s v="CUST0365"/>
    <s v="Tonya Miller"/>
    <x v="3"/>
    <n v="52"/>
    <x v="1"/>
    <n v="360002"/>
    <n v="161259"/>
    <n v="111384"/>
    <x v="0"/>
    <s v="Inactive"/>
  </r>
  <r>
    <s v="CUST0366"/>
    <s v="Jeffrey Martinez"/>
    <x v="1"/>
    <n v="39"/>
    <x v="0"/>
    <n v="258853"/>
    <n v="20010"/>
    <n v="22361"/>
    <x v="1"/>
    <s v="Inactive"/>
  </r>
  <r>
    <s v="CUST0367"/>
    <s v="Daniel Knight"/>
    <x v="0"/>
    <n v="48"/>
    <x v="0"/>
    <n v="252076.51219512196"/>
    <n v="101858"/>
    <n v="95966"/>
    <x v="1"/>
    <s v="Active"/>
  </r>
  <r>
    <s v="CUST0368"/>
    <s v="Heather Alvarado"/>
    <x v="0"/>
    <n v="43"/>
    <x v="2"/>
    <n v="237006"/>
    <n v="84806"/>
    <n v="105352"/>
    <x v="1"/>
    <s v="Active"/>
  </r>
  <r>
    <s v="CUST0369"/>
    <s v="Vanessa Williams"/>
    <x v="1"/>
    <n v="39"/>
    <x v="2"/>
    <n v="261414"/>
    <n v="239815"/>
    <n v="30064"/>
    <x v="0"/>
    <s v="Inactive"/>
  </r>
  <r>
    <s v="CUST0370"/>
    <s v="Alexandra Wilson"/>
    <x v="3"/>
    <n v="56"/>
    <x v="0"/>
    <n v="319744"/>
    <n v="93137"/>
    <n v="76700"/>
    <x v="0"/>
    <s v="Active"/>
  </r>
  <r>
    <s v="CUST0371"/>
    <s v="Zachary Merritt"/>
    <x v="2"/>
    <n v="24"/>
    <x v="1"/>
    <n v="252076.51219512196"/>
    <n v="133095"/>
    <n v="48979"/>
    <x v="2"/>
    <s v="Inactive"/>
  </r>
  <r>
    <s v="CUST0372"/>
    <s v="Deanna West"/>
    <x v="2"/>
    <n v="59"/>
    <x v="0"/>
    <n v="344622"/>
    <n v="260297"/>
    <n v="74372"/>
    <x v="0"/>
    <s v="Inactive"/>
  </r>
  <r>
    <s v="CUST0373"/>
    <s v="Victoria Fisher"/>
    <x v="1"/>
    <n v="28"/>
    <x v="0"/>
    <n v="392183"/>
    <n v="132526"/>
    <n v="134976"/>
    <x v="0"/>
    <s v="Inactive"/>
  </r>
  <r>
    <s v="CUST0374"/>
    <s v="Sarah Wilson"/>
    <x v="0"/>
    <n v="32"/>
    <x v="0"/>
    <n v="121171"/>
    <n v="6261"/>
    <n v="148901"/>
    <x v="2"/>
    <s v="Inactive"/>
  </r>
  <r>
    <s v="CUST0375"/>
    <s v="Kathryn Richmond"/>
    <x v="1"/>
    <n v="53"/>
    <x v="1"/>
    <n v="478742"/>
    <n v="51344"/>
    <n v="125003"/>
    <x v="1"/>
    <s v="Inactive"/>
  </r>
  <r>
    <s v="CUST0376"/>
    <s v="Brittney Villa"/>
    <x v="1"/>
    <n v="31"/>
    <x v="2"/>
    <n v="396430"/>
    <n v="82952"/>
    <n v="97601"/>
    <x v="2"/>
    <s v="Inactive"/>
  </r>
  <r>
    <s v="CUST0377"/>
    <s v="Christopher Jackson"/>
    <x v="2"/>
    <n v="24"/>
    <x v="0"/>
    <n v="423701"/>
    <n v="129181"/>
    <n v="15001"/>
    <x v="2"/>
    <s v="Active"/>
  </r>
  <r>
    <s v="CUST0378"/>
    <s v="Nicole Sutton"/>
    <x v="0"/>
    <n v="27"/>
    <x v="1"/>
    <n v="293666"/>
    <n v="234181"/>
    <n v="54259"/>
    <x v="0"/>
    <s v="Inactive"/>
  </r>
  <r>
    <s v="CUST0379"/>
    <s v="Warren Thomas"/>
    <x v="0"/>
    <n v="53"/>
    <x v="1"/>
    <n v="34264"/>
    <n v="103776"/>
    <n v="129466"/>
    <x v="1"/>
    <s v="Active"/>
  </r>
  <r>
    <s v="CUST0380"/>
    <s v="Jeremiah Becker"/>
    <x v="3"/>
    <n v="50"/>
    <x v="0"/>
    <n v="160810"/>
    <n v="268796"/>
    <n v="145311"/>
    <x v="1"/>
    <s v="Active"/>
  </r>
  <r>
    <s v="CUST0381"/>
    <s v="Carrie Hunter"/>
    <x v="0"/>
    <n v="40"/>
    <x v="1"/>
    <n v="242668"/>
    <n v="62828"/>
    <n v="32923"/>
    <x v="1"/>
    <s v="Inactive"/>
  </r>
  <r>
    <s v="CUST0382"/>
    <s v="Brittany Serrano"/>
    <x v="1"/>
    <n v="56"/>
    <x v="2"/>
    <n v="485185"/>
    <n v="85717"/>
    <n v="23583"/>
    <x v="2"/>
    <s v="Active"/>
  </r>
  <r>
    <s v="CUST0383"/>
    <s v="William Edwards"/>
    <x v="0"/>
    <n v="24"/>
    <x v="1"/>
    <n v="16514"/>
    <n v="10309"/>
    <n v="120769"/>
    <x v="0"/>
    <s v="Active"/>
  </r>
  <r>
    <s v="CUST0384"/>
    <s v="John Foster"/>
    <x v="0"/>
    <n v="35"/>
    <x v="0"/>
    <n v="252076.51219512196"/>
    <n v="261842"/>
    <n v="71474"/>
    <x v="1"/>
    <s v="Inactive"/>
  </r>
  <r>
    <s v="CUST0385"/>
    <s v="Xavier Evans"/>
    <x v="2"/>
    <n v="32"/>
    <x v="1"/>
    <n v="337847"/>
    <n v="194095"/>
    <n v="21729"/>
    <x v="1"/>
    <s v="Active"/>
  </r>
  <r>
    <s v="CUST0386"/>
    <s v="Victoria Powers"/>
    <x v="4"/>
    <n v="36"/>
    <x v="2"/>
    <n v="129645"/>
    <n v="272792"/>
    <n v="118466"/>
    <x v="0"/>
    <s v="Inactive"/>
  </r>
  <r>
    <s v="CUST0387"/>
    <s v="Roberto Brewer"/>
    <x v="2"/>
    <n v="27"/>
    <x v="1"/>
    <n v="284215"/>
    <n v="61252"/>
    <n v="88259"/>
    <x v="2"/>
    <s v="Inactive"/>
  </r>
  <r>
    <s v="CUST0388"/>
    <s v="Kyle Gibson"/>
    <x v="2"/>
    <n v="58"/>
    <x v="1"/>
    <n v="151192"/>
    <n v="144596.33333333334"/>
    <n v="116164"/>
    <x v="1"/>
    <s v="Inactive"/>
  </r>
  <r>
    <s v="CUST0389"/>
    <s v="Brian Martinez"/>
    <x v="4"/>
    <n v="52"/>
    <x v="1"/>
    <n v="107589"/>
    <n v="286248"/>
    <n v="128046"/>
    <x v="0"/>
    <s v="Inactive"/>
  </r>
  <r>
    <s v="CUST0390"/>
    <s v="Debra Bowen"/>
    <x v="0"/>
    <n v="59"/>
    <x v="0"/>
    <n v="208909"/>
    <n v="181534.3"/>
    <n v="68167"/>
    <x v="1"/>
    <s v="Active"/>
  </r>
  <r>
    <s v="CUST0391"/>
    <s v="Megan King"/>
    <x v="0"/>
    <n v="24"/>
    <x v="0"/>
    <n v="442105"/>
    <n v="79060"/>
    <n v="134649"/>
    <x v="0"/>
    <s v="Active"/>
  </r>
  <r>
    <s v="CUST0392"/>
    <s v="Casey Miranda"/>
    <x v="3"/>
    <n v="27"/>
    <x v="2"/>
    <n v="407361"/>
    <n v="238892"/>
    <n v="136584"/>
    <x v="1"/>
    <s v="Inactive"/>
  </r>
  <r>
    <s v="CUST0393"/>
    <s v="Hector Murphy"/>
    <x v="3"/>
    <n v="34"/>
    <x v="0"/>
    <n v="252076.51219512196"/>
    <n v="137432"/>
    <n v="29725"/>
    <x v="2"/>
    <s v="Inactive"/>
  </r>
  <r>
    <s v="CUST0394"/>
    <s v="Savannah Blackwell"/>
    <x v="4"/>
    <n v="31"/>
    <x v="0"/>
    <n v="101407"/>
    <n v="193618"/>
    <n v="72765"/>
    <x v="0"/>
    <s v="Active"/>
  </r>
  <r>
    <s v="CUST0395"/>
    <s v="Diane Oconnor"/>
    <x v="4"/>
    <n v="23"/>
    <x v="1"/>
    <n v="192867"/>
    <n v="263591"/>
    <n v="78847"/>
    <x v="2"/>
    <s v="Active"/>
  </r>
  <r>
    <s v="CUST0396"/>
    <s v="Anthony Garner"/>
    <x v="4"/>
    <n v="21"/>
    <x v="1"/>
    <n v="252076.51219512196"/>
    <n v="64002"/>
    <n v="86639"/>
    <x v="1"/>
    <s v="Active"/>
  </r>
  <r>
    <s v="CUST0397"/>
    <s v="Molly Smith"/>
    <x v="0"/>
    <n v="48"/>
    <x v="0"/>
    <n v="393629"/>
    <n v="136682.45454545456"/>
    <n v="136131"/>
    <x v="1"/>
    <s v="Inactive"/>
  </r>
  <r>
    <s v="CUST0398"/>
    <s v="Amanda Jackson"/>
    <x v="0"/>
    <n v="40"/>
    <x v="1"/>
    <n v="252076.51219512196"/>
    <n v="75631"/>
    <n v="13823"/>
    <x v="0"/>
    <s v="Inactive"/>
  </r>
  <r>
    <s v="CUST0399"/>
    <s v="Christian Randolph"/>
    <x v="0"/>
    <n v="43"/>
    <x v="0"/>
    <n v="399324"/>
    <n v="77230"/>
    <n v="104802"/>
    <x v="0"/>
    <s v="Active"/>
  </r>
  <r>
    <s v="CUST0400"/>
    <s v="Jason Mcdonald"/>
    <x v="3"/>
    <n v="50"/>
    <x v="0"/>
    <n v="360643"/>
    <n v="208355"/>
    <n v="85285"/>
    <x v="2"/>
    <s v="Active"/>
  </r>
  <r>
    <s v="CUST0401"/>
    <s v="Linda York"/>
    <x v="3"/>
    <n v="43"/>
    <x v="1"/>
    <n v="421245"/>
    <n v="211793"/>
    <n v="109090"/>
    <x v="1"/>
    <s v="Inactive"/>
  </r>
  <r>
    <s v="CUST0402"/>
    <s v="Brittany Williams"/>
    <x v="0"/>
    <n v="33"/>
    <x v="0"/>
    <n v="373993"/>
    <n v="158009"/>
    <n v="128882"/>
    <x v="1"/>
    <s v="Active"/>
  </r>
  <r>
    <s v="CUST0403"/>
    <s v="Alan Wilkinson"/>
    <x v="0"/>
    <n v="58"/>
    <x v="0"/>
    <n v="282383"/>
    <n v="105971"/>
    <n v="135782"/>
    <x v="0"/>
    <s v="Inactive"/>
  </r>
  <r>
    <s v="CUST0404"/>
    <s v="Thomas Williams"/>
    <x v="3"/>
    <n v="34"/>
    <x v="0"/>
    <n v="158930"/>
    <n v="85027"/>
    <n v="108391"/>
    <x v="1"/>
    <s v="Inactive"/>
  </r>
  <r>
    <s v="CUST0405"/>
    <s v="Diana Thompson"/>
    <x v="3"/>
    <n v="59"/>
    <x v="1"/>
    <n v="258094"/>
    <n v="285919"/>
    <n v="85634"/>
    <x v="0"/>
    <s v="Inactive"/>
  </r>
  <r>
    <s v="CUST0406"/>
    <s v="Barbara Gomez"/>
    <x v="1"/>
    <n v="45"/>
    <x v="0"/>
    <n v="167764"/>
    <n v="223982"/>
    <n v="138849"/>
    <x v="2"/>
    <s v="Inactive"/>
  </r>
  <r>
    <s v="CUST0407"/>
    <s v="Alexander Mitchell"/>
    <x v="1"/>
    <n v="47"/>
    <x v="1"/>
    <n v="363497"/>
    <n v="125598.55555555556"/>
    <n v="138066"/>
    <x v="0"/>
    <s v="Inactive"/>
  </r>
  <r>
    <s v="CUST0408"/>
    <s v="Henry French"/>
    <x v="3"/>
    <n v="44"/>
    <x v="0"/>
    <n v="72208"/>
    <n v="143371"/>
    <n v="73110"/>
    <x v="2"/>
    <s v="Inactive"/>
  </r>
  <r>
    <s v="CUST0409"/>
    <s v="Shawn Powell"/>
    <x v="1"/>
    <n v="46"/>
    <x v="2"/>
    <n v="252076.51219512196"/>
    <n v="248838"/>
    <n v="118491"/>
    <x v="1"/>
    <s v="Inactive"/>
  </r>
  <r>
    <s v="CUST0410"/>
    <s v="Andrew Mcdaniel"/>
    <x v="1"/>
    <n v="30"/>
    <x v="0"/>
    <n v="374240"/>
    <n v="293646"/>
    <n v="72554"/>
    <x v="2"/>
    <s v="Inactive"/>
  </r>
  <r>
    <s v="CUST0411"/>
    <s v="Destiny Gonzalez"/>
    <x v="2"/>
    <n v="49"/>
    <x v="1"/>
    <n v="440433"/>
    <n v="140398.72727272726"/>
    <n v="11138"/>
    <x v="1"/>
    <s v="Inactive"/>
  </r>
  <r>
    <s v="CUST0412"/>
    <s v="Mary Brown"/>
    <x v="0"/>
    <n v="44"/>
    <x v="1"/>
    <n v="252076.51219512196"/>
    <n v="91719"/>
    <n v="97591"/>
    <x v="0"/>
    <s v="Inactive"/>
  </r>
  <r>
    <s v="CUST0413"/>
    <s v="Allison Garcia"/>
    <x v="4"/>
    <n v="27"/>
    <x v="0"/>
    <n v="387597"/>
    <n v="92401"/>
    <n v="40679"/>
    <x v="0"/>
    <s v="Inactive"/>
  </r>
  <r>
    <s v="CUST0414"/>
    <s v="Paul Gomez"/>
    <x v="4"/>
    <n v="28"/>
    <x v="1"/>
    <n v="482088"/>
    <n v="156740"/>
    <n v="34917"/>
    <x v="0"/>
    <s v="Active"/>
  </r>
  <r>
    <s v="CUST0415"/>
    <s v="Marie Brown"/>
    <x v="4"/>
    <n v="53"/>
    <x v="1"/>
    <n v="393788"/>
    <n v="116430"/>
    <n v="129078"/>
    <x v="1"/>
    <s v="Inactive"/>
  </r>
  <r>
    <s v="CUST0416"/>
    <s v="Stephen Collins"/>
    <x v="3"/>
    <n v="27"/>
    <x v="0"/>
    <n v="490489"/>
    <n v="82193"/>
    <n v="129796"/>
    <x v="0"/>
    <s v="Inactive"/>
  </r>
  <r>
    <s v="CUST0417"/>
    <s v="Taylor Dominguez"/>
    <x v="3"/>
    <n v="42"/>
    <x v="2"/>
    <n v="457798"/>
    <n v="108281"/>
    <n v="44389"/>
    <x v="2"/>
    <s v="Active"/>
  </r>
  <r>
    <s v="CUST0418"/>
    <s v="Sergio Rivera"/>
    <x v="1"/>
    <n v="22"/>
    <x v="1"/>
    <n v="335021"/>
    <n v="189636"/>
    <n v="78592"/>
    <x v="1"/>
    <s v="Active"/>
  </r>
  <r>
    <s v="CUST0419"/>
    <s v="Jesse Patrick"/>
    <x v="1"/>
    <n v="39.868583162217661"/>
    <x v="1"/>
    <n v="3120"/>
    <n v="60865"/>
    <n v="55781"/>
    <x v="1"/>
    <s v="Active"/>
  </r>
  <r>
    <s v="CUST0420"/>
    <s v="David Kennedy"/>
    <x v="0"/>
    <n v="51"/>
    <x v="0"/>
    <n v="270148"/>
    <n v="147407"/>
    <n v="86190"/>
    <x v="0"/>
    <s v="Inactive"/>
  </r>
  <r>
    <s v="CUST0421"/>
    <s v="George Robinson"/>
    <x v="4"/>
    <n v="51"/>
    <x v="1"/>
    <n v="384139"/>
    <n v="265224"/>
    <n v="143410"/>
    <x v="1"/>
    <s v="Active"/>
  </r>
  <r>
    <s v="CUST0422"/>
    <s v="Kendra Parrish"/>
    <x v="2"/>
    <n v="51"/>
    <x v="0"/>
    <n v="156167"/>
    <n v="122203"/>
    <n v="89240"/>
    <x v="0"/>
    <s v="Inactive"/>
  </r>
  <r>
    <s v="CUST0423"/>
    <s v="Carolyn Rosales"/>
    <x v="4"/>
    <n v="54"/>
    <x v="1"/>
    <n v="341982"/>
    <n v="49399"/>
    <n v="80710"/>
    <x v="0"/>
    <s v="Active"/>
  </r>
  <r>
    <s v="CUST0424"/>
    <s v="Jessica Ross"/>
    <x v="3"/>
    <n v="54"/>
    <x v="1"/>
    <n v="145773"/>
    <n v="222329"/>
    <n v="64379"/>
    <x v="0"/>
    <s v="Active"/>
  </r>
  <r>
    <s v="CUST0425"/>
    <s v="Christian Smith"/>
    <x v="4"/>
    <n v="42"/>
    <x v="1"/>
    <n v="462970"/>
    <n v="114807"/>
    <n v="35741"/>
    <x v="0"/>
    <s v="Active"/>
  </r>
  <r>
    <s v="CUST0426"/>
    <s v="Dana White"/>
    <x v="2"/>
    <n v="30"/>
    <x v="2"/>
    <n v="433730"/>
    <n v="79679"/>
    <n v="90098"/>
    <x v="1"/>
    <s v="Inactive"/>
  </r>
  <r>
    <s v="CUST0427"/>
    <s v="John Zimmerman"/>
    <x v="1"/>
    <n v="52"/>
    <x v="0"/>
    <n v="244150"/>
    <n v="95455"/>
    <n v="131429"/>
    <x v="2"/>
    <s v="Active"/>
  </r>
  <r>
    <s v="CUST0428"/>
    <s v="David Rodgers"/>
    <x v="3"/>
    <n v="38"/>
    <x v="2"/>
    <n v="26949"/>
    <n v="113838"/>
    <n v="10347"/>
    <x v="2"/>
    <s v="Inactive"/>
  </r>
  <r>
    <s v="CUST0429"/>
    <s v="Susan Cox"/>
    <x v="3"/>
    <n v="53"/>
    <x v="1"/>
    <n v="384132"/>
    <n v="101988"/>
    <n v="70297"/>
    <x v="0"/>
    <s v="Inactive"/>
  </r>
  <r>
    <s v="CUST0430"/>
    <s v="John Taylor"/>
    <x v="0"/>
    <n v="28"/>
    <x v="1"/>
    <n v="233988"/>
    <n v="76289"/>
    <n v="83238"/>
    <x v="0"/>
    <s v="Inactive"/>
  </r>
  <r>
    <s v="CUST0431"/>
    <s v="Sarah Murray"/>
    <x v="1"/>
    <n v="39.868583162217661"/>
    <x v="2"/>
    <n v="425750"/>
    <n v="23446"/>
    <n v="42723"/>
    <x v="1"/>
    <s v="Active"/>
  </r>
  <r>
    <s v="CUST0432"/>
    <s v="Candace Jenkins"/>
    <x v="2"/>
    <n v="54"/>
    <x v="0"/>
    <n v="476633"/>
    <n v="194437"/>
    <n v="68861"/>
    <x v="1"/>
    <s v="Inactive"/>
  </r>
  <r>
    <s v="CUST0433"/>
    <s v="Matthew Roberts"/>
    <x v="1"/>
    <n v="30"/>
    <x v="1"/>
    <n v="118089"/>
    <n v="284184"/>
    <n v="50039"/>
    <x v="0"/>
    <s v="Inactive"/>
  </r>
  <r>
    <s v="CUST0434"/>
    <s v="Lauren Macias"/>
    <x v="0"/>
    <n v="29"/>
    <x v="1"/>
    <n v="498913"/>
    <n v="201506"/>
    <n v="61392"/>
    <x v="2"/>
    <s v="Active"/>
  </r>
  <r>
    <s v="CUST0435"/>
    <s v="Christina Gomez"/>
    <x v="4"/>
    <n v="43"/>
    <x v="0"/>
    <n v="233107"/>
    <n v="227289"/>
    <n v="11533"/>
    <x v="0"/>
    <s v="Active"/>
  </r>
  <r>
    <s v="CUST0436"/>
    <s v="Kimberly Ball"/>
    <x v="0"/>
    <n v="30"/>
    <x v="1"/>
    <n v="188588"/>
    <n v="276260"/>
    <n v="12660"/>
    <x v="1"/>
    <s v="Active"/>
  </r>
  <r>
    <s v="CUST0437"/>
    <s v="Michael Williams"/>
    <x v="0"/>
    <n v="47"/>
    <x v="2"/>
    <n v="442730"/>
    <n v="149951"/>
    <n v="39540"/>
    <x v="0"/>
    <s v="Inactive"/>
  </r>
  <r>
    <s v="CUST0438"/>
    <s v="Laura Ho"/>
    <x v="1"/>
    <n v="36"/>
    <x v="0"/>
    <n v="5206"/>
    <n v="9335"/>
    <n v="117748"/>
    <x v="1"/>
    <s v="Active"/>
  </r>
  <r>
    <s v="CUST0439"/>
    <s v="April Webster"/>
    <x v="1"/>
    <n v="54"/>
    <x v="0"/>
    <n v="467112"/>
    <n v="123600"/>
    <n v="10020"/>
    <x v="1"/>
    <s v="Active"/>
  </r>
  <r>
    <s v="CUST0440"/>
    <s v="Victoria Austin"/>
    <x v="1"/>
    <n v="31"/>
    <x v="0"/>
    <n v="252076.51219512196"/>
    <n v="262289"/>
    <n v="77480"/>
    <x v="2"/>
    <s v="Inactive"/>
  </r>
  <r>
    <s v="CUST0441"/>
    <s v="Rachel Hernandez"/>
    <x v="0"/>
    <n v="31"/>
    <x v="1"/>
    <n v="208769"/>
    <n v="219484"/>
    <n v="19960"/>
    <x v="2"/>
    <s v="Active"/>
  </r>
  <r>
    <s v="CUST0442"/>
    <s v="Jared Newman"/>
    <x v="3"/>
    <n v="42"/>
    <x v="1"/>
    <n v="160398"/>
    <n v="124211.14285714286"/>
    <n v="75311"/>
    <x v="0"/>
    <s v="Inactive"/>
  </r>
  <r>
    <s v="CUST0443"/>
    <s v="Brittany Harris"/>
    <x v="3"/>
    <n v="54"/>
    <x v="0"/>
    <n v="353967"/>
    <n v="197795"/>
    <n v="36339"/>
    <x v="0"/>
    <s v="Inactive"/>
  </r>
  <r>
    <s v="CUST0444"/>
    <s v="William Long"/>
    <x v="0"/>
    <n v="41"/>
    <x v="0"/>
    <n v="126073"/>
    <n v="78410"/>
    <n v="130308"/>
    <x v="0"/>
    <s v="Inactive"/>
  </r>
  <r>
    <s v="CUST0445"/>
    <s v="Martha Shannon"/>
    <x v="2"/>
    <n v="40"/>
    <x v="0"/>
    <n v="395938"/>
    <n v="153610.86666666667"/>
    <n v="73401"/>
    <x v="2"/>
    <s v="Inactive"/>
  </r>
  <r>
    <s v="CUST0446"/>
    <s v="Kristopher Mays"/>
    <x v="4"/>
    <n v="53"/>
    <x v="0"/>
    <n v="272651"/>
    <n v="230009"/>
    <n v="133911"/>
    <x v="0"/>
    <s v="Active"/>
  </r>
  <r>
    <s v="CUST0447"/>
    <s v="Jillian Webb"/>
    <x v="0"/>
    <n v="43"/>
    <x v="0"/>
    <n v="252076.51219512196"/>
    <n v="129394"/>
    <n v="85604"/>
    <x v="2"/>
    <s v="Inactive"/>
  </r>
  <r>
    <s v="CUST0448"/>
    <s v="Samuel Mitchell"/>
    <x v="2"/>
    <n v="56"/>
    <x v="1"/>
    <n v="499118"/>
    <n v="43309"/>
    <n v="34957"/>
    <x v="1"/>
    <s v="Active"/>
  </r>
  <r>
    <s v="CUST0449"/>
    <s v="Elizabeth Cortez"/>
    <x v="3"/>
    <n v="41"/>
    <x v="1"/>
    <n v="200223"/>
    <n v="17373"/>
    <n v="106627"/>
    <x v="1"/>
    <s v="Active"/>
  </r>
  <r>
    <s v="CUST0450"/>
    <s v="Thomas Tucker"/>
    <x v="2"/>
    <n v="57"/>
    <x v="2"/>
    <n v="106546"/>
    <n v="48386"/>
    <n v="19370"/>
    <x v="2"/>
    <s v="Active"/>
  </r>
  <r>
    <s v="CUST0451"/>
    <s v="Roger Holt"/>
    <x v="4"/>
    <n v="32"/>
    <x v="1"/>
    <n v="454929"/>
    <n v="97274"/>
    <n v="43181"/>
    <x v="0"/>
    <s v="Inactive"/>
  </r>
  <r>
    <s v="CUST0452"/>
    <s v="Regina Wilson"/>
    <x v="4"/>
    <n v="58"/>
    <x v="0"/>
    <n v="395891"/>
    <n v="70291"/>
    <n v="84711"/>
    <x v="1"/>
    <s v="Active"/>
  </r>
  <r>
    <s v="CUST0453"/>
    <s v="Alexander Hernandez"/>
    <x v="2"/>
    <n v="21"/>
    <x v="2"/>
    <n v="252076.51219512196"/>
    <n v="100143"/>
    <n v="89160"/>
    <x v="0"/>
    <s v="Inactive"/>
  </r>
  <r>
    <s v="CUST0454"/>
    <s v="Christopher Benjamin"/>
    <x v="1"/>
    <n v="59"/>
    <x v="1"/>
    <n v="338713"/>
    <n v="122238"/>
    <n v="94579"/>
    <x v="1"/>
    <s v="Inactive"/>
  </r>
  <r>
    <s v="CUST0455"/>
    <s v="Renee Meadows"/>
    <x v="0"/>
    <n v="56"/>
    <x v="1"/>
    <n v="345560"/>
    <n v="285503"/>
    <n v="144456"/>
    <x v="1"/>
    <s v="Active"/>
  </r>
  <r>
    <s v="CUST0456"/>
    <s v="Alexandria Barker"/>
    <x v="1"/>
    <n v="39.868583162217661"/>
    <x v="1"/>
    <n v="15064"/>
    <n v="158797"/>
    <n v="136280"/>
    <x v="0"/>
    <s v="Active"/>
  </r>
  <r>
    <s v="CUST0457"/>
    <s v="Matthew Trevino"/>
    <x v="0"/>
    <n v="23"/>
    <x v="0"/>
    <n v="304325"/>
    <n v="50865"/>
    <n v="31298"/>
    <x v="1"/>
    <s v="Inactive"/>
  </r>
  <r>
    <s v="CUST0458"/>
    <s v="Cameron Welch"/>
    <x v="3"/>
    <n v="31"/>
    <x v="0"/>
    <n v="290901"/>
    <n v="109376"/>
    <n v="17465"/>
    <x v="2"/>
    <s v="Inactive"/>
  </r>
  <r>
    <s v="CUST0459"/>
    <s v="Timothy Alvarez"/>
    <x v="0"/>
    <n v="28"/>
    <x v="1"/>
    <n v="448148"/>
    <n v="129472"/>
    <n v="71159"/>
    <x v="1"/>
    <s v="Active"/>
  </r>
  <r>
    <s v="CUST0460"/>
    <s v="William Francis"/>
    <x v="0"/>
    <n v="43"/>
    <x v="2"/>
    <n v="133754"/>
    <n v="14974"/>
    <n v="61094"/>
    <x v="0"/>
    <s v="Active"/>
  </r>
  <r>
    <s v="CUST0461"/>
    <s v="Julie Blake"/>
    <x v="1"/>
    <n v="39"/>
    <x v="0"/>
    <n v="332729"/>
    <n v="238702"/>
    <n v="87084"/>
    <x v="2"/>
    <s v="Inactive"/>
  </r>
  <r>
    <s v="CUST0462"/>
    <s v="Franklin Marsh"/>
    <x v="1"/>
    <n v="51"/>
    <x v="1"/>
    <n v="10701"/>
    <n v="112697"/>
    <n v="50046"/>
    <x v="1"/>
    <s v="Active"/>
  </r>
  <r>
    <s v="CUST0463"/>
    <s v="Jesus Garcia"/>
    <x v="0"/>
    <n v="33"/>
    <x v="0"/>
    <n v="398841"/>
    <n v="27530"/>
    <n v="97627"/>
    <x v="2"/>
    <s v="Inactive"/>
  </r>
  <r>
    <s v="CUST0464"/>
    <s v="Alyssa Brewer"/>
    <x v="3"/>
    <n v="26"/>
    <x v="1"/>
    <n v="56857"/>
    <n v="210581"/>
    <n v="105256"/>
    <x v="0"/>
    <s v="Inactive"/>
  </r>
  <r>
    <s v="CUST0465"/>
    <s v="Brittany Miller"/>
    <x v="0"/>
    <n v="43"/>
    <x v="0"/>
    <n v="467881"/>
    <n v="267339"/>
    <n v="147297"/>
    <x v="2"/>
    <s v="Inactive"/>
  </r>
  <r>
    <s v="CUST0466"/>
    <s v="Jessica Hess"/>
    <x v="3"/>
    <n v="35"/>
    <x v="1"/>
    <n v="246314"/>
    <n v="114799"/>
    <n v="22592"/>
    <x v="2"/>
    <s v="Active"/>
  </r>
  <r>
    <s v="CUST0467"/>
    <s v="David Cline"/>
    <x v="3"/>
    <n v="56"/>
    <x v="1"/>
    <n v="143643"/>
    <n v="181898"/>
    <n v="122614"/>
    <x v="0"/>
    <s v="Inactive"/>
  </r>
  <r>
    <s v="CUST0468"/>
    <s v="Mark Taylor"/>
    <x v="4"/>
    <n v="33"/>
    <x v="0"/>
    <n v="373048"/>
    <n v="141907"/>
    <n v="104175"/>
    <x v="1"/>
    <s v="Active"/>
  </r>
  <r>
    <s v="CUST0469"/>
    <s v="Erin Skinner"/>
    <x v="2"/>
    <n v="35"/>
    <x v="0"/>
    <n v="445327"/>
    <n v="118601"/>
    <n v="51461"/>
    <x v="1"/>
    <s v="Active"/>
  </r>
  <r>
    <s v="CUST0470"/>
    <s v="Christopher Pope"/>
    <x v="2"/>
    <n v="39"/>
    <x v="1"/>
    <n v="22891"/>
    <n v="189334"/>
    <n v="67945"/>
    <x v="0"/>
    <s v="Active"/>
  </r>
  <r>
    <s v="CUST0471"/>
    <s v="Mackenzie Davidson"/>
    <x v="4"/>
    <n v="23"/>
    <x v="0"/>
    <n v="182450"/>
    <n v="1176"/>
    <n v="125312"/>
    <x v="0"/>
    <s v="Inactive"/>
  </r>
  <r>
    <s v="CUST0472"/>
    <s v="Sandra Boyd"/>
    <x v="2"/>
    <n v="55"/>
    <x v="1"/>
    <n v="481429"/>
    <n v="254158"/>
    <n v="100605"/>
    <x v="1"/>
    <s v="Inactive"/>
  </r>
  <r>
    <s v="CUST0473"/>
    <s v="Daniel Hayes"/>
    <x v="1"/>
    <n v="56"/>
    <x v="1"/>
    <n v="90277"/>
    <n v="138782"/>
    <n v="60120"/>
    <x v="1"/>
    <s v="Active"/>
  </r>
  <r>
    <s v="CUST0474"/>
    <s v="Samuel Norris"/>
    <x v="0"/>
    <n v="38"/>
    <x v="0"/>
    <n v="22088"/>
    <n v="272924"/>
    <n v="52782"/>
    <x v="0"/>
    <s v="Inactive"/>
  </r>
  <r>
    <s v="CUST0475"/>
    <s v="Nicole Mccann"/>
    <x v="2"/>
    <n v="35"/>
    <x v="1"/>
    <n v="352953"/>
    <n v="25026"/>
    <n v="93067"/>
    <x v="1"/>
    <s v="Active"/>
  </r>
  <r>
    <s v="CUST0476"/>
    <s v="Charles Roberts"/>
    <x v="4"/>
    <n v="56"/>
    <x v="0"/>
    <n v="443325"/>
    <n v="25262"/>
    <n v="125150"/>
    <x v="1"/>
    <s v="Active"/>
  </r>
  <r>
    <s v="CUST0477"/>
    <s v="Gloria Kelley"/>
    <x v="1"/>
    <n v="39"/>
    <x v="1"/>
    <n v="77547"/>
    <n v="31211"/>
    <n v="76434"/>
    <x v="0"/>
    <s v="Inactive"/>
  </r>
  <r>
    <s v="CUST0478"/>
    <s v="Mark Cardenas"/>
    <x v="1"/>
    <n v="51"/>
    <x v="0"/>
    <n v="15848"/>
    <n v="287227"/>
    <n v="60185"/>
    <x v="2"/>
    <s v="Active"/>
  </r>
  <r>
    <s v="CUST0479"/>
    <s v="Gregory Daniel"/>
    <x v="2"/>
    <n v="55"/>
    <x v="0"/>
    <n v="348155"/>
    <n v="147091.55555555556"/>
    <n v="131143"/>
    <x v="0"/>
    <s v="Active"/>
  </r>
  <r>
    <s v="CUST0480"/>
    <s v="Ruth Peterson"/>
    <x v="4"/>
    <n v="40"/>
    <x v="0"/>
    <n v="175382"/>
    <n v="13905"/>
    <n v="142445"/>
    <x v="0"/>
    <s v="Inactive"/>
  </r>
  <r>
    <s v="CUST0481"/>
    <s v="Linda Carlson"/>
    <x v="1"/>
    <n v="49"/>
    <x v="0"/>
    <n v="50264"/>
    <n v="205756"/>
    <n v="13873"/>
    <x v="2"/>
    <s v="Active"/>
  </r>
  <r>
    <s v="CUST0482"/>
    <s v="April Taylor"/>
    <x v="2"/>
    <n v="37"/>
    <x v="2"/>
    <n v="327679"/>
    <n v="65689"/>
    <n v="128144"/>
    <x v="0"/>
    <s v="Inactive"/>
  </r>
  <r>
    <s v="CUST0483"/>
    <s v="Carolyn Fisher"/>
    <x v="2"/>
    <n v="50"/>
    <x v="0"/>
    <n v="252076.51219512196"/>
    <n v="215259"/>
    <n v="138761"/>
    <x v="1"/>
    <s v="Active"/>
  </r>
  <r>
    <s v="CUST0484"/>
    <s v="Alexandra Smith"/>
    <x v="0"/>
    <n v="28"/>
    <x v="1"/>
    <n v="128881"/>
    <n v="16614"/>
    <n v="45745"/>
    <x v="0"/>
    <s v="Inactive"/>
  </r>
  <r>
    <s v="CUST0485"/>
    <s v="Patricia Norris"/>
    <x v="3"/>
    <n v="46"/>
    <x v="1"/>
    <n v="211351"/>
    <n v="164299"/>
    <n v="110646"/>
    <x v="1"/>
    <s v="Active"/>
  </r>
  <r>
    <s v="CUST0486"/>
    <s v="Andrew Williams"/>
    <x v="2"/>
    <n v="45"/>
    <x v="1"/>
    <n v="16072"/>
    <n v="143767"/>
    <n v="50473"/>
    <x v="1"/>
    <s v="Inactive"/>
  </r>
  <r>
    <s v="CUST0487"/>
    <s v="Joshua Hall"/>
    <x v="2"/>
    <n v="55"/>
    <x v="0"/>
    <n v="252076.51219512196"/>
    <n v="254674"/>
    <n v="122760"/>
    <x v="0"/>
    <s v="Active"/>
  </r>
  <r>
    <s v="CUST0488"/>
    <s v="Matthew Young"/>
    <x v="2"/>
    <n v="23"/>
    <x v="1"/>
    <n v="40577"/>
    <n v="132237"/>
    <n v="106196"/>
    <x v="2"/>
    <s v="Inactive"/>
  </r>
  <r>
    <s v="CUST0489"/>
    <s v="Jason Lewis"/>
    <x v="2"/>
    <n v="30"/>
    <x v="0"/>
    <n v="9829"/>
    <n v="230757"/>
    <n v="50052"/>
    <x v="0"/>
    <s v="Inactive"/>
  </r>
  <r>
    <s v="CUST0490"/>
    <s v="Richard Johnson"/>
    <x v="0"/>
    <n v="24"/>
    <x v="2"/>
    <n v="162800"/>
    <n v="272010"/>
    <n v="110585"/>
    <x v="0"/>
    <s v="Inactive"/>
  </r>
  <r>
    <s v="CUST0491"/>
    <s v="Tracy Davis"/>
    <x v="2"/>
    <n v="24"/>
    <x v="1"/>
    <n v="313926"/>
    <n v="166897"/>
    <n v="41928"/>
    <x v="2"/>
    <s v="Active"/>
  </r>
  <r>
    <s v="CUST0492"/>
    <s v="Alexis Duncan"/>
    <x v="4"/>
    <n v="42"/>
    <x v="0"/>
    <n v="252076.51219512196"/>
    <n v="277765"/>
    <n v="84094"/>
    <x v="0"/>
    <s v="Inactive"/>
  </r>
  <r>
    <s v="CUST0493"/>
    <s v="Zachary Ferguson"/>
    <x v="0"/>
    <n v="57"/>
    <x v="2"/>
    <n v="294041"/>
    <n v="43402"/>
    <n v="83863"/>
    <x v="1"/>
    <s v="Active"/>
  </r>
  <r>
    <s v="CUST0494"/>
    <s v="Daniel Walker"/>
    <x v="2"/>
    <n v="39.868583162217661"/>
    <x v="1"/>
    <n v="221227"/>
    <n v="247153"/>
    <n v="25622"/>
    <x v="0"/>
    <s v="Active"/>
  </r>
  <r>
    <s v="CUST0495"/>
    <s v="Nathan White"/>
    <x v="0"/>
    <n v="52"/>
    <x v="0"/>
    <n v="424158"/>
    <n v="98478"/>
    <n v="43844"/>
    <x v="2"/>
    <s v="Active"/>
  </r>
  <r>
    <s v="CUST0496"/>
    <s v="Brenda Simmons"/>
    <x v="1"/>
    <n v="40"/>
    <x v="0"/>
    <n v="298743"/>
    <n v="223734"/>
    <n v="61461"/>
    <x v="2"/>
    <s v="Active"/>
  </r>
  <r>
    <s v="CUST0497"/>
    <s v="Matthew Roberts"/>
    <x v="3"/>
    <n v="50"/>
    <x v="1"/>
    <n v="296051"/>
    <n v="10317"/>
    <n v="147644"/>
    <x v="1"/>
    <s v="Active"/>
  </r>
  <r>
    <s v="CUST0498"/>
    <s v="Hannah Hernandez"/>
    <x v="1"/>
    <n v="41"/>
    <x v="0"/>
    <n v="489565"/>
    <n v="234375"/>
    <n v="119060"/>
    <x v="2"/>
    <s v="Inactive"/>
  </r>
  <r>
    <s v="CUST0499"/>
    <s v="Brian Little"/>
    <x v="0"/>
    <n v="21"/>
    <x v="1"/>
    <n v="76979"/>
    <n v="9941"/>
    <n v="110198"/>
    <x v="2"/>
    <s v="Active"/>
  </r>
  <r>
    <s v="CUST0500"/>
    <s v="Eric Rhodes"/>
    <x v="3"/>
    <n v="39.868583162217661"/>
    <x v="0"/>
    <n v="158248"/>
    <n v="128450"/>
    <n v="131864"/>
    <x v="1"/>
    <s v="In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EE8E5-0AB8-44CE-9A02-6E9F8BD65C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8:E12" firstHeaderRow="1" firstDataRow="1" firstDataCol="1"/>
  <pivotFields count="10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numFmtId="164"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Income" fld="7" baseField="8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25BAA-71BF-40D8-956E-D56E8807C0A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:H5" firstHeaderRow="1" firstDataRow="1" firstDataCol="1"/>
  <pivotFields count="10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dataField="1" numFmtId="164" showAll="0"/>
    <pivotField numFmtId="164" showAll="0"/>
    <pivotField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oan Amount" fld="6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6626-F165-416F-97CE-41E94420806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5" firstHeaderRow="1" firstDataRow="1" firstDataCol="1"/>
  <pivotFields count="10">
    <pivotField dataField="1"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092D3-AF24-4CBD-B181-6848E30722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10"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dataField="1" numFmtId="164" showAll="0"/>
    <pivotField numFmtId="164" showAll="0"/>
    <pivotField numFmtId="164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count Balance" fld="5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9F354-B36B-4B3F-A0C5-7068D568DDF3}" autoFormatId="16" applyNumberFormats="0" applyBorderFormats="0" applyFontFormats="0" applyPatternFormats="0" applyAlignmentFormats="0" applyWidthHeightFormats="0">
  <queryTableRefresh nextId="15">
    <queryTableFields count="12">
      <queryTableField id="1" name="Customer_ID" tableColumnId="1"/>
      <queryTableField id="2" name="Name" tableColumnId="2"/>
      <queryTableField id="3" name="City" tableColumnId="3"/>
      <queryTableField id="4" name="Age" tableColumnId="4"/>
      <queryTableField id="12" name="Age Group" tableColumnId="12"/>
      <queryTableField id="5" name="Gender" tableColumnId="5"/>
      <queryTableField id="6" name="Account Balance" tableColumnId="6"/>
      <queryTableField id="7" name="Loan Amount" tableColumnId="7"/>
      <queryTableField id="8" name="Monthly Income" tableColumnId="8"/>
      <queryTableField id="11" name="Income Category" tableColumnId="11"/>
      <queryTableField id="9" name="Account Type" tableColumnId="9"/>
      <queryTableField id="10" name="Status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4DCC3-FA4D-40C4-8A4A-A2E096CA3B6B}" name="Table1" displayName="Table1" ref="A1:P501" totalsRowShown="0">
  <autoFilter ref="A1:P501" xr:uid="{BBB4DCC3-FA4D-40C4-8A4A-A2E096CA3B6B}"/>
  <tableColumns count="16">
    <tableColumn id="1" xr3:uid="{66224D74-A7E7-4B5B-AF21-FFD941269BDA}" name="Customer_ID"/>
    <tableColumn id="15" xr3:uid="{98D2BF7D-E968-4582-A66B-357DE99C60C0}" name="Name" dataDxfId="17">
      <calculatedColumnFormula>CONCATENATE(Table1[[#This Row],[First Name]]," ",Table1[[#This Row],[Last Name]])</calculatedColumnFormula>
    </tableColumn>
    <tableColumn id="2" xr3:uid="{41018DF0-08F4-499A-A8B1-93383FDA26F1}" name="First Name"/>
    <tableColumn id="3" xr3:uid="{DEAD40AD-95F0-45A5-88D2-5BD7ABB3FF74}" name="Last Name"/>
    <tableColumn id="4" xr3:uid="{A8B4FE21-451F-4794-AA8D-5512972DF93C}" name="City"/>
    <tableColumn id="12" xr3:uid="{C202DB88-2A8F-40E6-8BD2-2AADB279A841}" name="Age" dataDxfId="16">
      <calculatedColumnFormula>IF(G2="", AVERAGE($G$2:$G$501),G2)</calculatedColumnFormula>
    </tableColumn>
    <tableColumn id="5" xr3:uid="{0D45A8A5-4B9E-4015-B43B-33533406356E}" name="Age2"/>
    <tableColumn id="13" xr3:uid="{40788EC8-B42F-49F8-BA91-A2A222E90F95}" name="Gender" dataDxfId="15">
      <calculatedColumnFormula>IF(I2="","Unknown",I2)</calculatedColumnFormula>
    </tableColumn>
    <tableColumn id="6" xr3:uid="{F592CB13-AA5F-482F-ADBF-79EED16436A6}" name="Gender2"/>
    <tableColumn id="14" xr3:uid="{51EBDAD5-C94F-42D0-AB70-C9AE3DAD27E7}" name="Account Balance" dataDxfId="14">
      <calculatedColumnFormula>IF(K2="",AVERAGE($K$2:$K$501),K2)</calculatedColumnFormula>
    </tableColumn>
    <tableColumn id="7" xr3:uid="{F3AF5000-E469-4178-B67F-58BA05E04A5A}" name="Account Balance2"/>
    <tableColumn id="16" xr3:uid="{103D372D-3938-4F42-BA37-03E1516002F3}" name="Loan Amount" dataDxfId="13">
      <calculatedColumnFormula>IF(M2="",AVERAGEIF($F$2:$F$501,F2,$M$2:$M$501),M2)</calculatedColumnFormula>
    </tableColumn>
    <tableColumn id="8" xr3:uid="{D82B11DA-5226-479B-A19D-4A1FBC01EF26}" name="Loan Amount2"/>
    <tableColumn id="9" xr3:uid="{03F6B053-BF14-47E5-88CC-6DEC8619E69A}" name="Monthly Income"/>
    <tableColumn id="10" xr3:uid="{4CCA4419-B2A4-402C-B8D6-431436F59C65}" name="Account Type"/>
    <tableColumn id="11" xr3:uid="{75D1B940-9A83-4C85-A9DF-5EA19692A553}" name="Status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B44AB-910A-4E17-8779-69386872DF6D}" name="Table2" displayName="Table2" ref="A1:J501" totalsRowShown="0" headerRowDxfId="12" dataDxfId="11">
  <autoFilter ref="A1:J501" xr:uid="{23BB44AB-910A-4E17-8779-69386872DF6D}"/>
  <tableColumns count="10">
    <tableColumn id="1" xr3:uid="{22CED5E2-3AE5-40F9-B3EB-C503D6380BA0}" name="Customer_ID" dataDxfId="10"/>
    <tableColumn id="2" xr3:uid="{05EFDCAF-109B-49BC-A14E-BBBB5B69453B}" name="Name" dataDxfId="9"/>
    <tableColumn id="3" xr3:uid="{699B5148-8682-4DEF-95E3-A102FA0AB0BA}" name="City" dataDxfId="8"/>
    <tableColumn id="4" xr3:uid="{88C5785D-244C-410A-A46D-5C885D13788E}" name="Age" dataDxfId="7"/>
    <tableColumn id="5" xr3:uid="{F4986AB4-4B94-4044-957B-6B0141AEEA18}" name="Gender" dataDxfId="6"/>
    <tableColumn id="6" xr3:uid="{07DA229D-F70C-4BD5-94DA-D65E64867C1F}" name="Account Balance" dataDxfId="5" dataCellStyle="Comma"/>
    <tableColumn id="7" xr3:uid="{B1624DD8-0B7D-443F-8C19-157DDBF80266}" name="Loan Amount" dataDxfId="4" dataCellStyle="Comma"/>
    <tableColumn id="8" xr3:uid="{A1D44DFE-03C4-4924-B61E-183F6F512B7A}" name="Monthly Income" dataDxfId="3" dataCellStyle="Comma"/>
    <tableColumn id="9" xr3:uid="{64059521-330D-441E-9DB6-93C5E6773C5D}" name="Account Type" dataDxfId="2"/>
    <tableColumn id="10" xr3:uid="{74ECAF5F-FBF0-4378-83B4-737BB0F13434}" name="Status" dataDxfId="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78361-43DC-4433-9F4B-70E58133596A}" name="Table2_1" displayName="Table2_1" ref="A1:L501" tableType="queryTable" totalsRowShown="0">
  <autoFilter ref="A1:L501" xr:uid="{4DD78361-43DC-4433-9F4B-70E58133596A}"/>
  <tableColumns count="12">
    <tableColumn id="1" xr3:uid="{4D38E24B-EDB2-4864-A534-32AC7E3681CB}" uniqueName="1" name="Customer_ID" queryTableFieldId="1" dataDxfId="24"/>
    <tableColumn id="2" xr3:uid="{D6C3C38D-6289-498D-AAB8-4EAA86A55BD5}" uniqueName="2" name="Name" queryTableFieldId="2" dataDxfId="23"/>
    <tableColumn id="3" xr3:uid="{F5E918E5-237B-4530-A84D-A308E17C8C56}" uniqueName="3" name="City" queryTableFieldId="3" dataDxfId="22"/>
    <tableColumn id="4" xr3:uid="{DAB8421A-8600-4825-A266-F145D8139529}" uniqueName="4" name="Age" queryTableFieldId="4"/>
    <tableColumn id="12" xr3:uid="{A271CE4A-010A-4CC5-8929-08F80DF86DA8}" uniqueName="12" name="Age Group" queryTableFieldId="12" dataDxfId="21"/>
    <tableColumn id="5" xr3:uid="{74310D41-AA8F-497A-9D4D-6FC64F298FC8}" uniqueName="5" name="Gender" queryTableFieldId="5" dataDxfId="20"/>
    <tableColumn id="6" xr3:uid="{C5713714-8C92-4560-90D3-686B766A8AFF}" uniqueName="6" name="Account Balance" queryTableFieldId="6"/>
    <tableColumn id="7" xr3:uid="{28179322-C611-44B9-A302-E251C03BB5B3}" uniqueName="7" name="Loan Amount" queryTableFieldId="7"/>
    <tableColumn id="8" xr3:uid="{13D9C1C5-8E8E-4649-B60D-074719DBE49A}" uniqueName="8" name="Monthly Income" queryTableFieldId="8"/>
    <tableColumn id="11" xr3:uid="{460E227D-42C7-4988-BD2A-B2AC78672BBC}" uniqueName="11" name="Income Category" queryTableFieldId="11" dataDxfId="0"/>
    <tableColumn id="9" xr3:uid="{FB16737C-0910-4155-A813-AE1B2DEEBFE1}" uniqueName="9" name="Account Type" queryTableFieldId="9" dataDxfId="19"/>
    <tableColumn id="10" xr3:uid="{91915B8A-DCC2-4C50-A2C8-F1B933FD7E95}" uniqueName="10" name="Status" queryTableFieldId="10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B801-9981-48CE-8168-0792ACEA68C5}">
  <dimension ref="A1:K501"/>
  <sheetViews>
    <sheetView workbookViewId="0">
      <selection activeCell="A10" sqref="A1:K5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27</v>
      </c>
      <c r="F2" t="s">
        <v>15</v>
      </c>
      <c r="G2">
        <v>173251</v>
      </c>
      <c r="H2">
        <v>201954</v>
      </c>
      <c r="I2">
        <v>60097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>
        <v>22</v>
      </c>
      <c r="F3" t="s">
        <v>22</v>
      </c>
      <c r="G3">
        <v>290970</v>
      </c>
      <c r="H3">
        <v>230892</v>
      </c>
      <c r="I3">
        <v>84539</v>
      </c>
      <c r="J3" t="s">
        <v>23</v>
      </c>
      <c r="K3" t="s">
        <v>24</v>
      </c>
    </row>
    <row r="4" spans="1:11" x14ac:dyDescent="0.3">
      <c r="A4" t="s">
        <v>25</v>
      </c>
      <c r="B4" t="s">
        <v>26</v>
      </c>
      <c r="C4" t="s">
        <v>27</v>
      </c>
      <c r="D4" t="s">
        <v>21</v>
      </c>
      <c r="E4">
        <v>59</v>
      </c>
      <c r="F4" t="s">
        <v>28</v>
      </c>
      <c r="G4">
        <v>154393</v>
      </c>
      <c r="H4">
        <v>46687</v>
      </c>
      <c r="I4">
        <v>129825</v>
      </c>
      <c r="J4" t="s">
        <v>23</v>
      </c>
      <c r="K4" t="s">
        <v>17</v>
      </c>
    </row>
    <row r="5" spans="1:11" x14ac:dyDescent="0.3">
      <c r="A5" t="s">
        <v>29</v>
      </c>
      <c r="B5" t="s">
        <v>30</v>
      </c>
      <c r="C5" t="s">
        <v>31</v>
      </c>
      <c r="D5" t="s">
        <v>21</v>
      </c>
      <c r="E5">
        <v>53</v>
      </c>
      <c r="F5" t="s">
        <v>32</v>
      </c>
      <c r="G5">
        <v>407998</v>
      </c>
      <c r="H5">
        <v>229123</v>
      </c>
      <c r="I5">
        <v>33489</v>
      </c>
      <c r="J5" t="s">
        <v>33</v>
      </c>
      <c r="K5" t="s">
        <v>24</v>
      </c>
    </row>
    <row r="6" spans="1:11" x14ac:dyDescent="0.3">
      <c r="A6" t="s">
        <v>34</v>
      </c>
      <c r="B6" t="s">
        <v>35</v>
      </c>
      <c r="C6" t="s">
        <v>36</v>
      </c>
      <c r="D6" t="s">
        <v>14</v>
      </c>
      <c r="E6">
        <v>48</v>
      </c>
      <c r="F6" t="s">
        <v>37</v>
      </c>
      <c r="H6">
        <v>82629</v>
      </c>
      <c r="I6">
        <v>36790</v>
      </c>
      <c r="J6" t="s">
        <v>33</v>
      </c>
      <c r="K6" t="s">
        <v>17</v>
      </c>
    </row>
    <row r="7" spans="1:11" x14ac:dyDescent="0.3">
      <c r="A7" t="s">
        <v>38</v>
      </c>
      <c r="B7" t="s">
        <v>39</v>
      </c>
      <c r="C7" t="s">
        <v>40</v>
      </c>
      <c r="D7" t="s">
        <v>14</v>
      </c>
      <c r="E7">
        <v>39</v>
      </c>
      <c r="F7" t="s">
        <v>28</v>
      </c>
      <c r="G7">
        <v>393546</v>
      </c>
      <c r="H7">
        <v>282820</v>
      </c>
      <c r="I7">
        <v>60204</v>
      </c>
      <c r="J7" t="s">
        <v>33</v>
      </c>
      <c r="K7" t="s">
        <v>17</v>
      </c>
    </row>
    <row r="8" spans="1:11" x14ac:dyDescent="0.3">
      <c r="A8" t="s">
        <v>41</v>
      </c>
      <c r="B8" t="s">
        <v>42</v>
      </c>
      <c r="C8" t="s">
        <v>43</v>
      </c>
      <c r="D8" t="s">
        <v>44</v>
      </c>
      <c r="E8">
        <v>40</v>
      </c>
      <c r="F8" t="s">
        <v>28</v>
      </c>
      <c r="G8">
        <v>277326</v>
      </c>
      <c r="H8">
        <v>202534</v>
      </c>
      <c r="I8">
        <v>63511</v>
      </c>
      <c r="J8" t="s">
        <v>33</v>
      </c>
      <c r="K8" t="s">
        <v>24</v>
      </c>
    </row>
    <row r="9" spans="1:11" x14ac:dyDescent="0.3">
      <c r="A9" t="s">
        <v>45</v>
      </c>
      <c r="B9" t="s">
        <v>46</v>
      </c>
      <c r="C9" t="s">
        <v>47</v>
      </c>
      <c r="D9" t="s">
        <v>48</v>
      </c>
      <c r="E9">
        <v>31</v>
      </c>
      <c r="F9" t="s">
        <v>37</v>
      </c>
      <c r="G9">
        <v>409932</v>
      </c>
      <c r="H9">
        <v>209949</v>
      </c>
      <c r="I9">
        <v>17760</v>
      </c>
      <c r="J9" t="s">
        <v>23</v>
      </c>
      <c r="K9" t="s">
        <v>17</v>
      </c>
    </row>
    <row r="10" spans="1:11" x14ac:dyDescent="0.3">
      <c r="A10" t="s">
        <v>49</v>
      </c>
      <c r="B10" t="s">
        <v>50</v>
      </c>
      <c r="C10" t="s">
        <v>51</v>
      </c>
      <c r="D10" t="s">
        <v>14</v>
      </c>
      <c r="E10">
        <v>47</v>
      </c>
      <c r="F10" t="s">
        <v>32</v>
      </c>
      <c r="G10">
        <v>468043</v>
      </c>
      <c r="H10">
        <v>123836</v>
      </c>
      <c r="I10">
        <v>101261</v>
      </c>
      <c r="J10" t="s">
        <v>16</v>
      </c>
      <c r="K10" t="s">
        <v>17</v>
      </c>
    </row>
    <row r="11" spans="1:11" x14ac:dyDescent="0.3">
      <c r="A11" t="s">
        <v>52</v>
      </c>
      <c r="B11" t="s">
        <v>53</v>
      </c>
      <c r="C11" t="s">
        <v>54</v>
      </c>
      <c r="D11" t="s">
        <v>44</v>
      </c>
      <c r="E11">
        <v>45</v>
      </c>
      <c r="F11" t="s">
        <v>32</v>
      </c>
      <c r="G11">
        <v>328320</v>
      </c>
      <c r="H11">
        <v>171683</v>
      </c>
      <c r="I11">
        <v>115464</v>
      </c>
      <c r="J11" t="s">
        <v>16</v>
      </c>
      <c r="K11" t="s">
        <v>24</v>
      </c>
    </row>
    <row r="12" spans="1:11" x14ac:dyDescent="0.3">
      <c r="A12" t="s">
        <v>55</v>
      </c>
      <c r="B12" t="s">
        <v>56</v>
      </c>
      <c r="C12" t="s">
        <v>57</v>
      </c>
      <c r="D12" t="s">
        <v>58</v>
      </c>
      <c r="E12">
        <v>57</v>
      </c>
      <c r="F12" t="s">
        <v>59</v>
      </c>
      <c r="G12">
        <v>311372</v>
      </c>
      <c r="H12">
        <v>251677</v>
      </c>
      <c r="I12">
        <v>47473</v>
      </c>
      <c r="J12" t="s">
        <v>16</v>
      </c>
      <c r="K12" t="s">
        <v>17</v>
      </c>
    </row>
    <row r="13" spans="1:11" x14ac:dyDescent="0.3">
      <c r="A13" t="s">
        <v>60</v>
      </c>
      <c r="B13" t="s">
        <v>61</v>
      </c>
      <c r="C13" t="s">
        <v>62</v>
      </c>
      <c r="D13" t="s">
        <v>44</v>
      </c>
      <c r="E13">
        <v>38</v>
      </c>
      <c r="F13" t="s">
        <v>32</v>
      </c>
      <c r="G13">
        <v>37657</v>
      </c>
      <c r="H13">
        <v>146719</v>
      </c>
      <c r="I13">
        <v>147344</v>
      </c>
      <c r="J13" t="s">
        <v>23</v>
      </c>
      <c r="K13" t="s">
        <v>24</v>
      </c>
    </row>
    <row r="14" spans="1:11" x14ac:dyDescent="0.3">
      <c r="A14" t="s">
        <v>63</v>
      </c>
      <c r="B14" t="s">
        <v>64</v>
      </c>
      <c r="C14" t="s">
        <v>65</v>
      </c>
      <c r="D14" t="s">
        <v>44</v>
      </c>
      <c r="E14">
        <v>57</v>
      </c>
      <c r="F14" t="s">
        <v>37</v>
      </c>
      <c r="H14">
        <v>97461</v>
      </c>
      <c r="I14">
        <v>80848</v>
      </c>
      <c r="J14" t="s">
        <v>23</v>
      </c>
      <c r="K14" t="s">
        <v>17</v>
      </c>
    </row>
    <row r="15" spans="1:11" x14ac:dyDescent="0.3">
      <c r="A15" t="s">
        <v>66</v>
      </c>
      <c r="B15" t="s">
        <v>67</v>
      </c>
      <c r="C15" t="s">
        <v>68</v>
      </c>
      <c r="D15" t="s">
        <v>21</v>
      </c>
      <c r="E15">
        <v>34</v>
      </c>
      <c r="F15" t="s">
        <v>69</v>
      </c>
      <c r="G15">
        <v>235791</v>
      </c>
      <c r="H15">
        <v>49290</v>
      </c>
      <c r="I15">
        <v>24861</v>
      </c>
      <c r="J15" t="s">
        <v>23</v>
      </c>
      <c r="K15" t="s">
        <v>24</v>
      </c>
    </row>
    <row r="16" spans="1:11" x14ac:dyDescent="0.3">
      <c r="A16" t="s">
        <v>70</v>
      </c>
      <c r="B16" t="s">
        <v>71</v>
      </c>
      <c r="C16" t="s">
        <v>72</v>
      </c>
      <c r="D16" t="s">
        <v>44</v>
      </c>
      <c r="E16">
        <v>34</v>
      </c>
      <c r="F16" t="s">
        <v>59</v>
      </c>
      <c r="G16">
        <v>142325</v>
      </c>
      <c r="H16">
        <v>119346</v>
      </c>
      <c r="I16">
        <v>63943</v>
      </c>
      <c r="J16" t="s">
        <v>16</v>
      </c>
      <c r="K16" t="s">
        <v>17</v>
      </c>
    </row>
    <row r="17" spans="1:11" x14ac:dyDescent="0.3">
      <c r="A17" t="s">
        <v>73</v>
      </c>
      <c r="B17" t="s">
        <v>74</v>
      </c>
      <c r="C17" t="s">
        <v>75</v>
      </c>
      <c r="D17" t="s">
        <v>44</v>
      </c>
      <c r="E17">
        <v>25</v>
      </c>
      <c r="F17" t="s">
        <v>37</v>
      </c>
      <c r="G17">
        <v>183534</v>
      </c>
      <c r="H17">
        <v>37832</v>
      </c>
      <c r="I17">
        <v>82064</v>
      </c>
      <c r="J17" t="s">
        <v>33</v>
      </c>
      <c r="K17" t="s">
        <v>24</v>
      </c>
    </row>
    <row r="18" spans="1:11" x14ac:dyDescent="0.3">
      <c r="A18" t="s">
        <v>76</v>
      </c>
      <c r="B18" t="s">
        <v>77</v>
      </c>
      <c r="C18" t="s">
        <v>78</v>
      </c>
      <c r="D18" t="s">
        <v>21</v>
      </c>
      <c r="E18">
        <v>39</v>
      </c>
      <c r="G18">
        <v>378588</v>
      </c>
      <c r="H18">
        <v>4870</v>
      </c>
      <c r="I18">
        <v>147525</v>
      </c>
      <c r="J18" t="s">
        <v>16</v>
      </c>
      <c r="K18" t="s">
        <v>17</v>
      </c>
    </row>
    <row r="19" spans="1:11" x14ac:dyDescent="0.3">
      <c r="A19" t="s">
        <v>79</v>
      </c>
      <c r="B19" t="s">
        <v>80</v>
      </c>
      <c r="C19" t="s">
        <v>81</v>
      </c>
      <c r="D19" t="s">
        <v>48</v>
      </c>
      <c r="E19">
        <v>32</v>
      </c>
      <c r="F19" t="s">
        <v>22</v>
      </c>
      <c r="G19">
        <v>109396</v>
      </c>
      <c r="H19">
        <v>24146</v>
      </c>
      <c r="I19">
        <v>84605</v>
      </c>
      <c r="J19" t="s">
        <v>16</v>
      </c>
      <c r="K19" t="s">
        <v>24</v>
      </c>
    </row>
    <row r="20" spans="1:11" x14ac:dyDescent="0.3">
      <c r="A20" t="s">
        <v>82</v>
      </c>
      <c r="B20" t="s">
        <v>39</v>
      </c>
      <c r="C20" t="s">
        <v>83</v>
      </c>
      <c r="D20" t="s">
        <v>58</v>
      </c>
      <c r="E20">
        <v>58</v>
      </c>
      <c r="F20" t="s">
        <v>69</v>
      </c>
      <c r="G20">
        <v>366989</v>
      </c>
      <c r="H20">
        <v>66345</v>
      </c>
      <c r="I20">
        <v>93738</v>
      </c>
      <c r="J20" t="s">
        <v>16</v>
      </c>
      <c r="K20" t="s">
        <v>24</v>
      </c>
    </row>
    <row r="21" spans="1:11" x14ac:dyDescent="0.3">
      <c r="A21" t="s">
        <v>84</v>
      </c>
      <c r="B21" t="s">
        <v>85</v>
      </c>
      <c r="C21" t="s">
        <v>86</v>
      </c>
      <c r="D21" t="s">
        <v>48</v>
      </c>
      <c r="E21">
        <v>29</v>
      </c>
      <c r="F21" t="s">
        <v>37</v>
      </c>
      <c r="G21">
        <v>28089</v>
      </c>
      <c r="H21">
        <v>105962</v>
      </c>
      <c r="I21">
        <v>89657</v>
      </c>
      <c r="J21" t="s">
        <v>16</v>
      </c>
      <c r="K21" t="s">
        <v>24</v>
      </c>
    </row>
    <row r="22" spans="1:11" x14ac:dyDescent="0.3">
      <c r="A22" t="s">
        <v>87</v>
      </c>
      <c r="B22" t="s">
        <v>88</v>
      </c>
      <c r="C22" t="s">
        <v>89</v>
      </c>
      <c r="D22" t="s">
        <v>14</v>
      </c>
      <c r="E22">
        <v>24</v>
      </c>
      <c r="F22" t="s">
        <v>90</v>
      </c>
      <c r="G22">
        <v>464120</v>
      </c>
      <c r="H22">
        <v>255109</v>
      </c>
      <c r="I22">
        <v>49534</v>
      </c>
      <c r="J22" t="s">
        <v>23</v>
      </c>
      <c r="K22" t="s">
        <v>24</v>
      </c>
    </row>
    <row r="23" spans="1:11" x14ac:dyDescent="0.3">
      <c r="A23" t="s">
        <v>91</v>
      </c>
      <c r="B23" t="s">
        <v>92</v>
      </c>
      <c r="C23" t="s">
        <v>93</v>
      </c>
      <c r="D23" t="s">
        <v>21</v>
      </c>
      <c r="E23">
        <v>52</v>
      </c>
      <c r="F23" t="s">
        <v>22</v>
      </c>
      <c r="G23">
        <v>242645</v>
      </c>
      <c r="H23">
        <v>215764</v>
      </c>
      <c r="I23">
        <v>119723</v>
      </c>
      <c r="J23" t="s">
        <v>33</v>
      </c>
      <c r="K23" t="s">
        <v>17</v>
      </c>
    </row>
    <row r="24" spans="1:11" x14ac:dyDescent="0.3">
      <c r="A24" t="s">
        <v>94</v>
      </c>
      <c r="B24" t="s">
        <v>95</v>
      </c>
      <c r="C24" t="s">
        <v>96</v>
      </c>
      <c r="D24" t="s">
        <v>21</v>
      </c>
      <c r="E24">
        <v>27</v>
      </c>
      <c r="F24" t="s">
        <v>22</v>
      </c>
      <c r="G24">
        <v>96931</v>
      </c>
      <c r="H24">
        <v>212684</v>
      </c>
      <c r="I24">
        <v>72262</v>
      </c>
      <c r="J24" t="s">
        <v>33</v>
      </c>
      <c r="K24" t="s">
        <v>17</v>
      </c>
    </row>
    <row r="25" spans="1:11" x14ac:dyDescent="0.3">
      <c r="A25" t="s">
        <v>97</v>
      </c>
      <c r="B25" t="s">
        <v>98</v>
      </c>
      <c r="C25" t="s">
        <v>99</v>
      </c>
      <c r="D25" t="s">
        <v>14</v>
      </c>
      <c r="E25">
        <v>31</v>
      </c>
      <c r="F25" t="s">
        <v>37</v>
      </c>
      <c r="H25">
        <v>22589</v>
      </c>
      <c r="I25">
        <v>96065</v>
      </c>
      <c r="J25" t="s">
        <v>33</v>
      </c>
      <c r="K25" t="s">
        <v>24</v>
      </c>
    </row>
    <row r="26" spans="1:11" x14ac:dyDescent="0.3">
      <c r="A26" t="s">
        <v>100</v>
      </c>
      <c r="B26" t="s">
        <v>101</v>
      </c>
      <c r="C26" t="s">
        <v>102</v>
      </c>
      <c r="D26" t="s">
        <v>58</v>
      </c>
      <c r="E26">
        <v>40</v>
      </c>
      <c r="F26" t="s">
        <v>15</v>
      </c>
      <c r="G26">
        <v>376023</v>
      </c>
      <c r="H26">
        <v>125661</v>
      </c>
      <c r="I26">
        <v>17897</v>
      </c>
      <c r="J26" t="s">
        <v>16</v>
      </c>
      <c r="K26" t="s">
        <v>17</v>
      </c>
    </row>
    <row r="27" spans="1:11" x14ac:dyDescent="0.3">
      <c r="A27" t="s">
        <v>103</v>
      </c>
      <c r="B27" t="s">
        <v>104</v>
      </c>
      <c r="C27" t="s">
        <v>105</v>
      </c>
      <c r="D27" t="s">
        <v>48</v>
      </c>
      <c r="E27">
        <v>37</v>
      </c>
      <c r="F27" t="s">
        <v>69</v>
      </c>
      <c r="G27">
        <v>240960</v>
      </c>
      <c r="H27">
        <v>87899</v>
      </c>
      <c r="I27">
        <v>73114</v>
      </c>
      <c r="J27" t="s">
        <v>33</v>
      </c>
      <c r="K27" t="s">
        <v>24</v>
      </c>
    </row>
    <row r="28" spans="1:11" x14ac:dyDescent="0.3">
      <c r="A28" t="s">
        <v>106</v>
      </c>
      <c r="B28" t="s">
        <v>107</v>
      </c>
      <c r="C28" t="s">
        <v>108</v>
      </c>
      <c r="D28" t="s">
        <v>14</v>
      </c>
      <c r="E28">
        <v>32</v>
      </c>
      <c r="F28" t="s">
        <v>22</v>
      </c>
      <c r="G28">
        <v>370808</v>
      </c>
      <c r="H28">
        <v>214420</v>
      </c>
      <c r="I28">
        <v>97047</v>
      </c>
      <c r="J28" t="s">
        <v>16</v>
      </c>
      <c r="K28" t="s">
        <v>24</v>
      </c>
    </row>
    <row r="29" spans="1:11" x14ac:dyDescent="0.3">
      <c r="A29" t="s">
        <v>109</v>
      </c>
      <c r="B29" t="s">
        <v>110</v>
      </c>
      <c r="C29" t="s">
        <v>111</v>
      </c>
      <c r="D29" t="s">
        <v>14</v>
      </c>
      <c r="E29">
        <v>38</v>
      </c>
      <c r="F29" t="s">
        <v>15</v>
      </c>
      <c r="G29">
        <v>288932</v>
      </c>
      <c r="H29">
        <v>169820</v>
      </c>
      <c r="I29">
        <v>104449</v>
      </c>
      <c r="J29" t="s">
        <v>23</v>
      </c>
      <c r="K29" t="s">
        <v>24</v>
      </c>
    </row>
    <row r="30" spans="1:11" x14ac:dyDescent="0.3">
      <c r="A30" t="s">
        <v>112</v>
      </c>
      <c r="B30" t="s">
        <v>113</v>
      </c>
      <c r="C30" t="s">
        <v>114</v>
      </c>
      <c r="D30" t="s">
        <v>44</v>
      </c>
      <c r="E30">
        <v>27</v>
      </c>
      <c r="F30" t="s">
        <v>22</v>
      </c>
      <c r="G30">
        <v>229111</v>
      </c>
      <c r="H30">
        <v>162228</v>
      </c>
      <c r="I30">
        <v>46648</v>
      </c>
      <c r="J30" t="s">
        <v>33</v>
      </c>
      <c r="K30" t="s">
        <v>24</v>
      </c>
    </row>
    <row r="31" spans="1:11" x14ac:dyDescent="0.3">
      <c r="A31" t="s">
        <v>115</v>
      </c>
      <c r="B31" t="s">
        <v>116</v>
      </c>
      <c r="C31" t="s">
        <v>117</v>
      </c>
      <c r="D31" t="s">
        <v>58</v>
      </c>
      <c r="E31">
        <v>22</v>
      </c>
      <c r="F31" t="s">
        <v>69</v>
      </c>
      <c r="G31">
        <v>327115</v>
      </c>
      <c r="H31">
        <v>105929</v>
      </c>
      <c r="I31">
        <v>117263</v>
      </c>
      <c r="J31" t="s">
        <v>33</v>
      </c>
      <c r="K31" t="s">
        <v>17</v>
      </c>
    </row>
    <row r="32" spans="1:11" x14ac:dyDescent="0.3">
      <c r="A32" t="s">
        <v>118</v>
      </c>
      <c r="B32" t="s">
        <v>71</v>
      </c>
      <c r="C32" t="s">
        <v>119</v>
      </c>
      <c r="D32" t="s">
        <v>21</v>
      </c>
      <c r="E32">
        <v>45</v>
      </c>
      <c r="F32" t="s">
        <v>15</v>
      </c>
      <c r="G32">
        <v>369852</v>
      </c>
      <c r="I32">
        <v>63444</v>
      </c>
      <c r="J32" t="s">
        <v>23</v>
      </c>
      <c r="K32" t="s">
        <v>17</v>
      </c>
    </row>
    <row r="33" spans="1:11" x14ac:dyDescent="0.3">
      <c r="A33" t="s">
        <v>120</v>
      </c>
      <c r="B33" t="s">
        <v>121</v>
      </c>
      <c r="C33" t="s">
        <v>122</v>
      </c>
      <c r="D33" t="s">
        <v>44</v>
      </c>
      <c r="E33">
        <v>28</v>
      </c>
      <c r="F33" t="s">
        <v>22</v>
      </c>
      <c r="G33">
        <v>31862</v>
      </c>
      <c r="H33">
        <v>264712</v>
      </c>
      <c r="I33">
        <v>89071</v>
      </c>
      <c r="J33" t="s">
        <v>23</v>
      </c>
      <c r="K33" t="s">
        <v>17</v>
      </c>
    </row>
    <row r="34" spans="1:11" x14ac:dyDescent="0.3">
      <c r="A34" t="s">
        <v>123</v>
      </c>
      <c r="B34" t="s">
        <v>124</v>
      </c>
      <c r="C34" t="s">
        <v>102</v>
      </c>
      <c r="D34" t="s">
        <v>14</v>
      </c>
      <c r="E34">
        <v>59</v>
      </c>
      <c r="F34" t="s">
        <v>22</v>
      </c>
      <c r="G34">
        <v>157366</v>
      </c>
      <c r="H34">
        <v>279801</v>
      </c>
      <c r="I34">
        <v>53889</v>
      </c>
      <c r="J34" t="s">
        <v>23</v>
      </c>
      <c r="K34" t="s">
        <v>24</v>
      </c>
    </row>
    <row r="35" spans="1:11" x14ac:dyDescent="0.3">
      <c r="A35" t="s">
        <v>125</v>
      </c>
      <c r="B35" t="s">
        <v>126</v>
      </c>
      <c r="C35" t="s">
        <v>127</v>
      </c>
      <c r="D35" t="s">
        <v>48</v>
      </c>
      <c r="E35">
        <v>52</v>
      </c>
      <c r="F35" t="s">
        <v>37</v>
      </c>
      <c r="G35">
        <v>46103</v>
      </c>
      <c r="H35">
        <v>253552</v>
      </c>
      <c r="I35">
        <v>137136</v>
      </c>
      <c r="J35" t="s">
        <v>23</v>
      </c>
      <c r="K35" t="s">
        <v>24</v>
      </c>
    </row>
    <row r="36" spans="1:11" x14ac:dyDescent="0.3">
      <c r="A36" t="s">
        <v>128</v>
      </c>
      <c r="B36" t="s">
        <v>129</v>
      </c>
      <c r="C36" t="s">
        <v>130</v>
      </c>
      <c r="D36" t="s">
        <v>14</v>
      </c>
      <c r="E36">
        <v>37</v>
      </c>
      <c r="F36" t="s">
        <v>28</v>
      </c>
      <c r="H36">
        <v>279530</v>
      </c>
      <c r="I36">
        <v>49401</v>
      </c>
      <c r="J36" t="s">
        <v>33</v>
      </c>
      <c r="K36" t="s">
        <v>17</v>
      </c>
    </row>
    <row r="37" spans="1:11" x14ac:dyDescent="0.3">
      <c r="A37" t="s">
        <v>131</v>
      </c>
      <c r="B37" t="s">
        <v>132</v>
      </c>
      <c r="C37" t="s">
        <v>133</v>
      </c>
      <c r="D37" t="s">
        <v>48</v>
      </c>
      <c r="E37">
        <v>46</v>
      </c>
      <c r="F37" t="s">
        <v>32</v>
      </c>
      <c r="G37">
        <v>257101</v>
      </c>
      <c r="H37">
        <v>4975</v>
      </c>
      <c r="I37">
        <v>124975</v>
      </c>
      <c r="J37" t="s">
        <v>23</v>
      </c>
      <c r="K37" t="s">
        <v>17</v>
      </c>
    </row>
    <row r="38" spans="1:11" x14ac:dyDescent="0.3">
      <c r="A38" t="s">
        <v>134</v>
      </c>
      <c r="B38" t="s">
        <v>135</v>
      </c>
      <c r="C38" t="s">
        <v>136</v>
      </c>
      <c r="D38" t="s">
        <v>21</v>
      </c>
      <c r="E38">
        <v>51</v>
      </c>
      <c r="F38" t="s">
        <v>28</v>
      </c>
      <c r="G38">
        <v>436328</v>
      </c>
      <c r="H38">
        <v>268431</v>
      </c>
      <c r="I38">
        <v>20107</v>
      </c>
      <c r="J38" t="s">
        <v>23</v>
      </c>
      <c r="K38" t="s">
        <v>24</v>
      </c>
    </row>
    <row r="39" spans="1:11" x14ac:dyDescent="0.3">
      <c r="A39" t="s">
        <v>137</v>
      </c>
      <c r="B39" t="s">
        <v>138</v>
      </c>
      <c r="C39" t="s">
        <v>139</v>
      </c>
      <c r="D39" t="s">
        <v>58</v>
      </c>
      <c r="E39">
        <v>43</v>
      </c>
      <c r="F39" t="s">
        <v>59</v>
      </c>
      <c r="G39">
        <v>299153</v>
      </c>
      <c r="H39">
        <v>217265</v>
      </c>
      <c r="I39">
        <v>25816</v>
      </c>
      <c r="J39" t="s">
        <v>33</v>
      </c>
      <c r="K39" t="s">
        <v>17</v>
      </c>
    </row>
    <row r="40" spans="1:11" x14ac:dyDescent="0.3">
      <c r="A40" t="s">
        <v>140</v>
      </c>
      <c r="B40" t="s">
        <v>141</v>
      </c>
      <c r="C40" t="s">
        <v>142</v>
      </c>
      <c r="D40" t="s">
        <v>48</v>
      </c>
      <c r="F40" t="s">
        <v>32</v>
      </c>
      <c r="G40">
        <v>88858</v>
      </c>
      <c r="H40">
        <v>176385</v>
      </c>
      <c r="I40">
        <v>96405</v>
      </c>
      <c r="J40" t="s">
        <v>16</v>
      </c>
      <c r="K40" t="s">
        <v>17</v>
      </c>
    </row>
    <row r="41" spans="1:11" x14ac:dyDescent="0.3">
      <c r="A41" t="s">
        <v>143</v>
      </c>
      <c r="B41" t="s">
        <v>144</v>
      </c>
      <c r="C41" t="s">
        <v>145</v>
      </c>
      <c r="D41" t="s">
        <v>48</v>
      </c>
      <c r="E41">
        <v>29</v>
      </c>
      <c r="F41" t="s">
        <v>15</v>
      </c>
      <c r="G41">
        <v>232818</v>
      </c>
      <c r="H41">
        <v>277062</v>
      </c>
      <c r="I41">
        <v>27152</v>
      </c>
      <c r="J41" t="s">
        <v>23</v>
      </c>
      <c r="K41" t="s">
        <v>24</v>
      </c>
    </row>
    <row r="42" spans="1:11" x14ac:dyDescent="0.3">
      <c r="A42" t="s">
        <v>146</v>
      </c>
      <c r="B42" t="s">
        <v>147</v>
      </c>
      <c r="C42" t="s">
        <v>148</v>
      </c>
      <c r="D42" t="s">
        <v>21</v>
      </c>
      <c r="E42">
        <v>21</v>
      </c>
      <c r="H42">
        <v>118185</v>
      </c>
      <c r="I42">
        <v>28996</v>
      </c>
      <c r="J42" t="s">
        <v>33</v>
      </c>
      <c r="K42" t="s">
        <v>24</v>
      </c>
    </row>
    <row r="43" spans="1:11" x14ac:dyDescent="0.3">
      <c r="A43" t="s">
        <v>149</v>
      </c>
      <c r="B43" t="s">
        <v>150</v>
      </c>
      <c r="C43" t="s">
        <v>151</v>
      </c>
      <c r="D43" t="s">
        <v>21</v>
      </c>
      <c r="E43">
        <v>53</v>
      </c>
      <c r="F43" t="s">
        <v>37</v>
      </c>
      <c r="G43">
        <v>81993</v>
      </c>
      <c r="H43">
        <v>280761</v>
      </c>
      <c r="I43">
        <v>48115</v>
      </c>
      <c r="J43" t="s">
        <v>16</v>
      </c>
      <c r="K43" t="s">
        <v>24</v>
      </c>
    </row>
    <row r="44" spans="1:11" x14ac:dyDescent="0.3">
      <c r="A44" t="s">
        <v>152</v>
      </c>
      <c r="B44" t="s">
        <v>153</v>
      </c>
      <c r="C44" t="s">
        <v>154</v>
      </c>
      <c r="D44" t="s">
        <v>44</v>
      </c>
      <c r="E44">
        <v>33</v>
      </c>
      <c r="G44">
        <v>52480</v>
      </c>
      <c r="H44">
        <v>239014</v>
      </c>
      <c r="I44">
        <v>16422</v>
      </c>
      <c r="J44" t="s">
        <v>23</v>
      </c>
      <c r="K44" t="s">
        <v>24</v>
      </c>
    </row>
    <row r="45" spans="1:11" x14ac:dyDescent="0.3">
      <c r="A45" t="s">
        <v>155</v>
      </c>
      <c r="B45" t="s">
        <v>156</v>
      </c>
      <c r="C45" t="s">
        <v>157</v>
      </c>
      <c r="D45" t="s">
        <v>14</v>
      </c>
      <c r="E45">
        <v>22</v>
      </c>
      <c r="F45" t="s">
        <v>90</v>
      </c>
      <c r="G45">
        <v>23528</v>
      </c>
      <c r="H45">
        <v>7049</v>
      </c>
      <c r="I45">
        <v>145390</v>
      </c>
      <c r="J45" t="s">
        <v>16</v>
      </c>
      <c r="K45" t="s">
        <v>17</v>
      </c>
    </row>
    <row r="46" spans="1:11" x14ac:dyDescent="0.3">
      <c r="A46" t="s">
        <v>158</v>
      </c>
      <c r="B46" t="s">
        <v>159</v>
      </c>
      <c r="C46" t="s">
        <v>160</v>
      </c>
      <c r="D46" t="s">
        <v>21</v>
      </c>
      <c r="E46">
        <v>37</v>
      </c>
      <c r="F46" t="s">
        <v>28</v>
      </c>
      <c r="G46">
        <v>26321</v>
      </c>
      <c r="H46">
        <v>243195</v>
      </c>
      <c r="I46">
        <v>40977</v>
      </c>
      <c r="J46" t="s">
        <v>16</v>
      </c>
      <c r="K46" t="s">
        <v>17</v>
      </c>
    </row>
    <row r="47" spans="1:11" x14ac:dyDescent="0.3">
      <c r="A47" t="s">
        <v>161</v>
      </c>
      <c r="B47" t="s">
        <v>98</v>
      </c>
      <c r="C47" t="s">
        <v>162</v>
      </c>
      <c r="D47" t="s">
        <v>44</v>
      </c>
      <c r="E47">
        <v>49</v>
      </c>
      <c r="F47" t="s">
        <v>32</v>
      </c>
      <c r="G47">
        <v>429931</v>
      </c>
      <c r="I47">
        <v>52216</v>
      </c>
      <c r="J47" t="s">
        <v>16</v>
      </c>
      <c r="K47" t="s">
        <v>17</v>
      </c>
    </row>
    <row r="48" spans="1:11" x14ac:dyDescent="0.3">
      <c r="A48" t="s">
        <v>163</v>
      </c>
      <c r="B48" t="s">
        <v>164</v>
      </c>
      <c r="C48" t="s">
        <v>165</v>
      </c>
      <c r="D48" t="s">
        <v>44</v>
      </c>
      <c r="E48">
        <v>26</v>
      </c>
      <c r="G48">
        <v>392441</v>
      </c>
      <c r="H48">
        <v>74216</v>
      </c>
      <c r="I48">
        <v>118625</v>
      </c>
      <c r="J48" t="s">
        <v>33</v>
      </c>
      <c r="K48" t="s">
        <v>24</v>
      </c>
    </row>
    <row r="49" spans="1:11" x14ac:dyDescent="0.3">
      <c r="A49" t="s">
        <v>166</v>
      </c>
      <c r="B49" t="s">
        <v>167</v>
      </c>
      <c r="C49" t="s">
        <v>168</v>
      </c>
      <c r="D49" t="s">
        <v>14</v>
      </c>
      <c r="E49">
        <v>39</v>
      </c>
      <c r="F49" t="s">
        <v>37</v>
      </c>
      <c r="G49">
        <v>58551</v>
      </c>
      <c r="H49">
        <v>277650</v>
      </c>
      <c r="I49">
        <v>136448</v>
      </c>
      <c r="J49" t="s">
        <v>16</v>
      </c>
      <c r="K49" t="s">
        <v>17</v>
      </c>
    </row>
    <row r="50" spans="1:11" x14ac:dyDescent="0.3">
      <c r="A50" t="s">
        <v>169</v>
      </c>
      <c r="B50" t="s">
        <v>170</v>
      </c>
      <c r="C50" t="s">
        <v>171</v>
      </c>
      <c r="D50" t="s">
        <v>58</v>
      </c>
      <c r="E50">
        <v>48</v>
      </c>
      <c r="F50" t="s">
        <v>32</v>
      </c>
      <c r="G50">
        <v>364338</v>
      </c>
      <c r="H50">
        <v>91054</v>
      </c>
      <c r="I50">
        <v>103727</v>
      </c>
      <c r="J50" t="s">
        <v>23</v>
      </c>
      <c r="K50" t="s">
        <v>17</v>
      </c>
    </row>
    <row r="51" spans="1:11" x14ac:dyDescent="0.3">
      <c r="A51" t="s">
        <v>172</v>
      </c>
      <c r="B51" t="s">
        <v>173</v>
      </c>
      <c r="C51" t="s">
        <v>174</v>
      </c>
      <c r="D51" t="s">
        <v>14</v>
      </c>
      <c r="E51">
        <v>42</v>
      </c>
      <c r="F51" t="s">
        <v>90</v>
      </c>
      <c r="H51">
        <v>136937</v>
      </c>
      <c r="I51">
        <v>132762</v>
      </c>
      <c r="J51" t="s">
        <v>16</v>
      </c>
      <c r="K51" t="s">
        <v>17</v>
      </c>
    </row>
    <row r="52" spans="1:11" x14ac:dyDescent="0.3">
      <c r="A52" t="s">
        <v>175</v>
      </c>
      <c r="B52" t="s">
        <v>176</v>
      </c>
      <c r="C52" t="s">
        <v>177</v>
      </c>
      <c r="D52" t="s">
        <v>14</v>
      </c>
      <c r="E52">
        <v>53</v>
      </c>
      <c r="F52" t="s">
        <v>32</v>
      </c>
      <c r="G52">
        <v>432454</v>
      </c>
      <c r="H52">
        <v>162456</v>
      </c>
      <c r="I52">
        <v>138809</v>
      </c>
      <c r="J52" t="s">
        <v>33</v>
      </c>
      <c r="K52" t="s">
        <v>24</v>
      </c>
    </row>
    <row r="53" spans="1:11" x14ac:dyDescent="0.3">
      <c r="A53" t="s">
        <v>178</v>
      </c>
      <c r="B53" t="s">
        <v>179</v>
      </c>
      <c r="C53" t="s">
        <v>180</v>
      </c>
      <c r="D53" t="s">
        <v>14</v>
      </c>
      <c r="E53">
        <v>36</v>
      </c>
      <c r="F53" t="s">
        <v>90</v>
      </c>
      <c r="G53">
        <v>498522</v>
      </c>
      <c r="H53">
        <v>128296</v>
      </c>
      <c r="I53">
        <v>102110</v>
      </c>
      <c r="J53" t="s">
        <v>16</v>
      </c>
      <c r="K53" t="s">
        <v>17</v>
      </c>
    </row>
    <row r="54" spans="1:11" x14ac:dyDescent="0.3">
      <c r="A54" t="s">
        <v>181</v>
      </c>
      <c r="B54" t="s">
        <v>182</v>
      </c>
      <c r="C54" t="s">
        <v>183</v>
      </c>
      <c r="D54" t="s">
        <v>21</v>
      </c>
      <c r="E54">
        <v>29</v>
      </c>
      <c r="F54" t="s">
        <v>69</v>
      </c>
      <c r="G54">
        <v>24638</v>
      </c>
      <c r="H54">
        <v>269939</v>
      </c>
      <c r="I54">
        <v>124648</v>
      </c>
      <c r="J54" t="s">
        <v>23</v>
      </c>
      <c r="K54" t="s">
        <v>24</v>
      </c>
    </row>
    <row r="55" spans="1:11" x14ac:dyDescent="0.3">
      <c r="A55" t="s">
        <v>184</v>
      </c>
      <c r="B55" t="s">
        <v>46</v>
      </c>
      <c r="C55" t="s">
        <v>165</v>
      </c>
      <c r="D55" t="s">
        <v>14</v>
      </c>
      <c r="E55">
        <v>26</v>
      </c>
      <c r="F55" t="s">
        <v>37</v>
      </c>
      <c r="G55">
        <v>154934</v>
      </c>
      <c r="H55">
        <v>59613</v>
      </c>
      <c r="I55">
        <v>70957</v>
      </c>
      <c r="J55" t="s">
        <v>23</v>
      </c>
      <c r="K55" t="s">
        <v>24</v>
      </c>
    </row>
    <row r="56" spans="1:11" x14ac:dyDescent="0.3">
      <c r="A56" t="s">
        <v>185</v>
      </c>
      <c r="B56" t="s">
        <v>186</v>
      </c>
      <c r="C56" t="s">
        <v>157</v>
      </c>
      <c r="D56" t="s">
        <v>21</v>
      </c>
      <c r="E56">
        <v>39</v>
      </c>
      <c r="F56" t="s">
        <v>22</v>
      </c>
      <c r="G56">
        <v>307691</v>
      </c>
      <c r="H56">
        <v>14360</v>
      </c>
      <c r="I56">
        <v>43277</v>
      </c>
      <c r="J56" t="s">
        <v>16</v>
      </c>
      <c r="K56" t="s">
        <v>24</v>
      </c>
    </row>
    <row r="57" spans="1:11" x14ac:dyDescent="0.3">
      <c r="A57" t="s">
        <v>187</v>
      </c>
      <c r="B57" t="s">
        <v>188</v>
      </c>
      <c r="C57" t="s">
        <v>189</v>
      </c>
      <c r="D57" t="s">
        <v>58</v>
      </c>
      <c r="F57" t="s">
        <v>59</v>
      </c>
      <c r="G57">
        <v>389788</v>
      </c>
      <c r="I57">
        <v>21066</v>
      </c>
      <c r="J57" t="s">
        <v>16</v>
      </c>
      <c r="K57" t="s">
        <v>17</v>
      </c>
    </row>
    <row r="58" spans="1:11" x14ac:dyDescent="0.3">
      <c r="A58" t="s">
        <v>190</v>
      </c>
      <c r="B58" t="s">
        <v>191</v>
      </c>
      <c r="C58" t="s">
        <v>192</v>
      </c>
      <c r="D58" t="s">
        <v>21</v>
      </c>
      <c r="E58">
        <v>55</v>
      </c>
      <c r="F58" t="s">
        <v>32</v>
      </c>
      <c r="G58">
        <v>192435</v>
      </c>
      <c r="H58">
        <v>223701</v>
      </c>
      <c r="I58">
        <v>119441</v>
      </c>
      <c r="J58" t="s">
        <v>33</v>
      </c>
      <c r="K58" t="s">
        <v>17</v>
      </c>
    </row>
    <row r="59" spans="1:11" x14ac:dyDescent="0.3">
      <c r="A59" t="s">
        <v>193</v>
      </c>
      <c r="B59" t="s">
        <v>194</v>
      </c>
      <c r="C59" t="s">
        <v>195</v>
      </c>
      <c r="D59" t="s">
        <v>21</v>
      </c>
      <c r="E59">
        <v>35</v>
      </c>
      <c r="G59">
        <v>176061</v>
      </c>
      <c r="I59">
        <v>134466</v>
      </c>
      <c r="J59" t="s">
        <v>16</v>
      </c>
      <c r="K59" t="s">
        <v>24</v>
      </c>
    </row>
    <row r="60" spans="1:11" x14ac:dyDescent="0.3">
      <c r="A60" t="s">
        <v>196</v>
      </c>
      <c r="B60" t="s">
        <v>197</v>
      </c>
      <c r="C60" t="s">
        <v>198</v>
      </c>
      <c r="D60" t="s">
        <v>21</v>
      </c>
      <c r="E60">
        <v>25</v>
      </c>
      <c r="F60" t="s">
        <v>59</v>
      </c>
      <c r="G60">
        <v>157455</v>
      </c>
      <c r="H60">
        <v>31863</v>
      </c>
      <c r="I60">
        <v>127242</v>
      </c>
      <c r="J60" t="s">
        <v>16</v>
      </c>
      <c r="K60" t="s">
        <v>24</v>
      </c>
    </row>
    <row r="61" spans="1:11" x14ac:dyDescent="0.3">
      <c r="A61" t="s">
        <v>199</v>
      </c>
      <c r="B61" t="s">
        <v>200</v>
      </c>
      <c r="C61" t="s">
        <v>201</v>
      </c>
      <c r="D61" t="s">
        <v>48</v>
      </c>
      <c r="E61">
        <v>22</v>
      </c>
      <c r="F61" t="s">
        <v>15</v>
      </c>
      <c r="G61">
        <v>391639</v>
      </c>
      <c r="H61">
        <v>27554</v>
      </c>
      <c r="I61">
        <v>100523</v>
      </c>
      <c r="J61" t="s">
        <v>16</v>
      </c>
      <c r="K61" t="s">
        <v>24</v>
      </c>
    </row>
    <row r="62" spans="1:11" x14ac:dyDescent="0.3">
      <c r="A62" t="s">
        <v>202</v>
      </c>
      <c r="B62" t="s">
        <v>203</v>
      </c>
      <c r="C62" t="s">
        <v>204</v>
      </c>
      <c r="D62" t="s">
        <v>14</v>
      </c>
      <c r="E62">
        <v>24</v>
      </c>
      <c r="F62" t="s">
        <v>69</v>
      </c>
      <c r="H62">
        <v>100584</v>
      </c>
      <c r="I62">
        <v>35602</v>
      </c>
      <c r="J62" t="s">
        <v>16</v>
      </c>
      <c r="K62" t="s">
        <v>24</v>
      </c>
    </row>
    <row r="63" spans="1:11" x14ac:dyDescent="0.3">
      <c r="A63" t="s">
        <v>205</v>
      </c>
      <c r="B63" t="s">
        <v>206</v>
      </c>
      <c r="C63" t="s">
        <v>207</v>
      </c>
      <c r="D63" t="s">
        <v>48</v>
      </c>
      <c r="E63">
        <v>22</v>
      </c>
      <c r="G63">
        <v>209286</v>
      </c>
      <c r="H63">
        <v>58952</v>
      </c>
      <c r="I63">
        <v>142309</v>
      </c>
      <c r="J63" t="s">
        <v>33</v>
      </c>
      <c r="K63" t="s">
        <v>17</v>
      </c>
    </row>
    <row r="64" spans="1:11" x14ac:dyDescent="0.3">
      <c r="A64" t="s">
        <v>208</v>
      </c>
      <c r="B64" t="s">
        <v>209</v>
      </c>
      <c r="C64" t="s">
        <v>210</v>
      </c>
      <c r="D64" t="s">
        <v>14</v>
      </c>
      <c r="E64">
        <v>32</v>
      </c>
      <c r="F64" t="s">
        <v>59</v>
      </c>
      <c r="G64">
        <v>320133</v>
      </c>
      <c r="H64">
        <v>68265</v>
      </c>
      <c r="I64">
        <v>96140</v>
      </c>
      <c r="J64" t="s">
        <v>23</v>
      </c>
      <c r="K64" t="s">
        <v>24</v>
      </c>
    </row>
    <row r="65" spans="1:11" x14ac:dyDescent="0.3">
      <c r="A65" t="s">
        <v>211</v>
      </c>
      <c r="B65" t="s">
        <v>212</v>
      </c>
      <c r="C65" t="s">
        <v>213</v>
      </c>
      <c r="D65" t="s">
        <v>58</v>
      </c>
      <c r="E65">
        <v>40</v>
      </c>
      <c r="F65" t="s">
        <v>37</v>
      </c>
      <c r="G65">
        <v>169071</v>
      </c>
      <c r="H65">
        <v>90389</v>
      </c>
      <c r="I65">
        <v>27537</v>
      </c>
      <c r="J65" t="s">
        <v>23</v>
      </c>
      <c r="K65" t="s">
        <v>17</v>
      </c>
    </row>
    <row r="66" spans="1:11" x14ac:dyDescent="0.3">
      <c r="A66" t="s">
        <v>214</v>
      </c>
      <c r="B66" t="s">
        <v>215</v>
      </c>
      <c r="C66" t="s">
        <v>117</v>
      </c>
      <c r="D66" t="s">
        <v>44</v>
      </c>
      <c r="E66">
        <v>51</v>
      </c>
      <c r="F66" t="s">
        <v>90</v>
      </c>
      <c r="G66">
        <v>369541</v>
      </c>
      <c r="H66">
        <v>273922</v>
      </c>
      <c r="I66">
        <v>37790</v>
      </c>
      <c r="J66" t="s">
        <v>33</v>
      </c>
      <c r="K66" t="s">
        <v>24</v>
      </c>
    </row>
    <row r="67" spans="1:11" x14ac:dyDescent="0.3">
      <c r="A67" t="s">
        <v>216</v>
      </c>
      <c r="B67" t="s">
        <v>217</v>
      </c>
      <c r="C67" t="s">
        <v>62</v>
      </c>
      <c r="D67" t="s">
        <v>21</v>
      </c>
      <c r="E67">
        <v>34</v>
      </c>
      <c r="F67" t="s">
        <v>90</v>
      </c>
      <c r="G67">
        <v>312648</v>
      </c>
      <c r="H67">
        <v>297858</v>
      </c>
      <c r="I67">
        <v>15872</v>
      </c>
      <c r="J67" t="s">
        <v>23</v>
      </c>
      <c r="K67" t="s">
        <v>24</v>
      </c>
    </row>
    <row r="68" spans="1:11" x14ac:dyDescent="0.3">
      <c r="A68" t="s">
        <v>218</v>
      </c>
      <c r="B68" t="s">
        <v>219</v>
      </c>
      <c r="C68" t="s">
        <v>177</v>
      </c>
      <c r="D68" t="s">
        <v>58</v>
      </c>
      <c r="E68">
        <v>35</v>
      </c>
      <c r="F68" t="s">
        <v>32</v>
      </c>
      <c r="G68">
        <v>254939</v>
      </c>
      <c r="H68">
        <v>23605</v>
      </c>
      <c r="I68">
        <v>45649</v>
      </c>
      <c r="J68" t="s">
        <v>33</v>
      </c>
      <c r="K68" t="s">
        <v>24</v>
      </c>
    </row>
    <row r="69" spans="1:11" x14ac:dyDescent="0.3">
      <c r="A69" t="s">
        <v>220</v>
      </c>
      <c r="B69" t="s">
        <v>221</v>
      </c>
      <c r="C69" t="s">
        <v>222</v>
      </c>
      <c r="D69" t="s">
        <v>44</v>
      </c>
      <c r="E69">
        <v>33</v>
      </c>
      <c r="F69" t="s">
        <v>69</v>
      </c>
      <c r="G69">
        <v>499776</v>
      </c>
      <c r="H69">
        <v>135392</v>
      </c>
      <c r="I69">
        <v>37056</v>
      </c>
      <c r="J69" t="s">
        <v>23</v>
      </c>
      <c r="K69" t="s">
        <v>24</v>
      </c>
    </row>
    <row r="70" spans="1:11" x14ac:dyDescent="0.3">
      <c r="A70" t="s">
        <v>223</v>
      </c>
      <c r="B70" t="s">
        <v>224</v>
      </c>
      <c r="C70" t="s">
        <v>225</v>
      </c>
      <c r="D70" t="s">
        <v>21</v>
      </c>
      <c r="E70">
        <v>50</v>
      </c>
      <c r="F70" t="s">
        <v>28</v>
      </c>
      <c r="G70">
        <v>242966</v>
      </c>
      <c r="H70">
        <v>244312</v>
      </c>
      <c r="I70">
        <v>144112</v>
      </c>
      <c r="J70" t="s">
        <v>23</v>
      </c>
      <c r="K70" t="s">
        <v>17</v>
      </c>
    </row>
    <row r="71" spans="1:11" x14ac:dyDescent="0.3">
      <c r="A71" t="s">
        <v>226</v>
      </c>
      <c r="B71" t="s">
        <v>227</v>
      </c>
      <c r="C71" t="s">
        <v>228</v>
      </c>
      <c r="D71" t="s">
        <v>44</v>
      </c>
      <c r="E71">
        <v>51</v>
      </c>
      <c r="F71" t="s">
        <v>15</v>
      </c>
      <c r="G71">
        <v>50013</v>
      </c>
      <c r="H71">
        <v>176423</v>
      </c>
      <c r="I71">
        <v>74597</v>
      </c>
      <c r="J71" t="s">
        <v>16</v>
      </c>
      <c r="K71" t="s">
        <v>17</v>
      </c>
    </row>
    <row r="72" spans="1:11" x14ac:dyDescent="0.3">
      <c r="A72" t="s">
        <v>229</v>
      </c>
      <c r="B72" t="s">
        <v>116</v>
      </c>
      <c r="C72" t="s">
        <v>230</v>
      </c>
      <c r="D72" t="s">
        <v>58</v>
      </c>
      <c r="E72">
        <v>31</v>
      </c>
      <c r="F72" t="s">
        <v>15</v>
      </c>
      <c r="H72">
        <v>293560</v>
      </c>
      <c r="I72">
        <v>124760</v>
      </c>
      <c r="J72" t="s">
        <v>23</v>
      </c>
      <c r="K72" t="s">
        <v>24</v>
      </c>
    </row>
    <row r="73" spans="1:11" x14ac:dyDescent="0.3">
      <c r="A73" t="s">
        <v>231</v>
      </c>
      <c r="B73" t="s">
        <v>232</v>
      </c>
      <c r="C73" t="s">
        <v>233</v>
      </c>
      <c r="D73" t="s">
        <v>21</v>
      </c>
      <c r="E73">
        <v>53</v>
      </c>
      <c r="F73" t="s">
        <v>59</v>
      </c>
      <c r="G73">
        <v>128175</v>
      </c>
      <c r="H73">
        <v>66663</v>
      </c>
      <c r="I73">
        <v>77373</v>
      </c>
      <c r="J73" t="s">
        <v>16</v>
      </c>
      <c r="K73" t="s">
        <v>17</v>
      </c>
    </row>
    <row r="74" spans="1:11" x14ac:dyDescent="0.3">
      <c r="A74" t="s">
        <v>234</v>
      </c>
      <c r="B74" t="s">
        <v>235</v>
      </c>
      <c r="C74" t="s">
        <v>236</v>
      </c>
      <c r="D74" t="s">
        <v>44</v>
      </c>
      <c r="E74">
        <v>38</v>
      </c>
      <c r="F74" t="s">
        <v>15</v>
      </c>
      <c r="G74">
        <v>246560</v>
      </c>
      <c r="H74">
        <v>88354</v>
      </c>
      <c r="I74">
        <v>24069</v>
      </c>
      <c r="J74" t="s">
        <v>33</v>
      </c>
      <c r="K74" t="s">
        <v>17</v>
      </c>
    </row>
    <row r="75" spans="1:11" x14ac:dyDescent="0.3">
      <c r="A75" t="s">
        <v>237</v>
      </c>
      <c r="B75" t="s">
        <v>224</v>
      </c>
      <c r="C75" t="s">
        <v>238</v>
      </c>
      <c r="D75" t="s">
        <v>44</v>
      </c>
      <c r="E75">
        <v>42</v>
      </c>
      <c r="H75">
        <v>104525</v>
      </c>
      <c r="I75">
        <v>14252</v>
      </c>
      <c r="J75" t="s">
        <v>23</v>
      </c>
      <c r="K75" t="s">
        <v>24</v>
      </c>
    </row>
    <row r="76" spans="1:11" x14ac:dyDescent="0.3">
      <c r="A76" t="s">
        <v>239</v>
      </c>
      <c r="B76" t="s">
        <v>240</v>
      </c>
      <c r="C76" t="s">
        <v>241</v>
      </c>
      <c r="D76" t="s">
        <v>48</v>
      </c>
      <c r="E76">
        <v>40</v>
      </c>
      <c r="F76" t="s">
        <v>28</v>
      </c>
      <c r="G76">
        <v>303558</v>
      </c>
      <c r="H76">
        <v>255099</v>
      </c>
      <c r="I76">
        <v>47105</v>
      </c>
      <c r="J76" t="s">
        <v>16</v>
      </c>
      <c r="K76" t="s">
        <v>24</v>
      </c>
    </row>
    <row r="77" spans="1:11" x14ac:dyDescent="0.3">
      <c r="A77" t="s">
        <v>242</v>
      </c>
      <c r="B77" t="s">
        <v>30</v>
      </c>
      <c r="C77" t="s">
        <v>243</v>
      </c>
      <c r="D77" t="s">
        <v>48</v>
      </c>
      <c r="E77">
        <v>31</v>
      </c>
      <c r="F77" t="s">
        <v>59</v>
      </c>
      <c r="G77">
        <v>175153</v>
      </c>
      <c r="H77">
        <v>208967</v>
      </c>
      <c r="I77">
        <v>63122</v>
      </c>
      <c r="J77" t="s">
        <v>23</v>
      </c>
      <c r="K77" t="s">
        <v>24</v>
      </c>
    </row>
    <row r="78" spans="1:11" x14ac:dyDescent="0.3">
      <c r="A78" t="s">
        <v>244</v>
      </c>
      <c r="B78" t="s">
        <v>245</v>
      </c>
      <c r="C78" t="s">
        <v>31</v>
      </c>
      <c r="D78" t="s">
        <v>48</v>
      </c>
      <c r="E78">
        <v>31</v>
      </c>
      <c r="F78" t="s">
        <v>32</v>
      </c>
      <c r="G78">
        <v>65007</v>
      </c>
      <c r="I78">
        <v>97917</v>
      </c>
      <c r="J78" t="s">
        <v>33</v>
      </c>
      <c r="K78" t="s">
        <v>17</v>
      </c>
    </row>
    <row r="79" spans="1:11" x14ac:dyDescent="0.3">
      <c r="A79" t="s">
        <v>246</v>
      </c>
      <c r="B79" t="s">
        <v>80</v>
      </c>
      <c r="C79" t="s">
        <v>247</v>
      </c>
      <c r="D79" t="s">
        <v>58</v>
      </c>
      <c r="E79">
        <v>54</v>
      </c>
      <c r="G79">
        <v>240234</v>
      </c>
      <c r="H79">
        <v>292742</v>
      </c>
      <c r="I79">
        <v>58877</v>
      </c>
      <c r="J79" t="s">
        <v>33</v>
      </c>
      <c r="K79" t="s">
        <v>17</v>
      </c>
    </row>
    <row r="80" spans="1:11" x14ac:dyDescent="0.3">
      <c r="A80" t="s">
        <v>248</v>
      </c>
      <c r="B80" t="s">
        <v>249</v>
      </c>
      <c r="C80" t="s">
        <v>54</v>
      </c>
      <c r="D80" t="s">
        <v>44</v>
      </c>
      <c r="E80">
        <v>39</v>
      </c>
      <c r="F80" t="s">
        <v>32</v>
      </c>
      <c r="G80">
        <v>365810</v>
      </c>
      <c r="H80">
        <v>280288</v>
      </c>
      <c r="I80">
        <v>104256</v>
      </c>
      <c r="J80" t="s">
        <v>23</v>
      </c>
      <c r="K80" t="s">
        <v>17</v>
      </c>
    </row>
    <row r="81" spans="1:11" x14ac:dyDescent="0.3">
      <c r="A81" t="s">
        <v>250</v>
      </c>
      <c r="B81" t="s">
        <v>85</v>
      </c>
      <c r="C81" t="s">
        <v>251</v>
      </c>
      <c r="D81" t="s">
        <v>48</v>
      </c>
      <c r="E81">
        <v>42</v>
      </c>
      <c r="F81" t="s">
        <v>28</v>
      </c>
      <c r="G81">
        <v>271152</v>
      </c>
      <c r="H81">
        <v>123703</v>
      </c>
      <c r="I81">
        <v>41784</v>
      </c>
      <c r="J81" t="s">
        <v>16</v>
      </c>
      <c r="K81" t="s">
        <v>17</v>
      </c>
    </row>
    <row r="82" spans="1:11" x14ac:dyDescent="0.3">
      <c r="A82" t="s">
        <v>252</v>
      </c>
      <c r="B82" t="s">
        <v>30</v>
      </c>
      <c r="C82" t="s">
        <v>253</v>
      </c>
      <c r="D82" t="s">
        <v>21</v>
      </c>
      <c r="E82">
        <v>26</v>
      </c>
      <c r="G82">
        <v>276817</v>
      </c>
      <c r="H82">
        <v>21940</v>
      </c>
      <c r="I82">
        <v>121421</v>
      </c>
      <c r="J82" t="s">
        <v>33</v>
      </c>
      <c r="K82" t="s">
        <v>24</v>
      </c>
    </row>
    <row r="83" spans="1:11" x14ac:dyDescent="0.3">
      <c r="A83" t="s">
        <v>254</v>
      </c>
      <c r="B83" t="s">
        <v>255</v>
      </c>
      <c r="C83" t="s">
        <v>256</v>
      </c>
      <c r="D83" t="s">
        <v>44</v>
      </c>
      <c r="E83">
        <v>48</v>
      </c>
      <c r="F83" t="s">
        <v>69</v>
      </c>
      <c r="G83">
        <v>162326</v>
      </c>
      <c r="H83">
        <v>33262</v>
      </c>
      <c r="I83">
        <v>11683</v>
      </c>
      <c r="J83" t="s">
        <v>23</v>
      </c>
      <c r="K83" t="s">
        <v>17</v>
      </c>
    </row>
    <row r="84" spans="1:11" x14ac:dyDescent="0.3">
      <c r="A84" t="s">
        <v>257</v>
      </c>
      <c r="B84" t="s">
        <v>232</v>
      </c>
      <c r="C84" t="s">
        <v>258</v>
      </c>
      <c r="D84" t="s">
        <v>58</v>
      </c>
      <c r="E84">
        <v>44</v>
      </c>
      <c r="F84" t="s">
        <v>69</v>
      </c>
      <c r="G84">
        <v>26693</v>
      </c>
      <c r="H84">
        <v>164325</v>
      </c>
      <c r="I84">
        <v>59378</v>
      </c>
      <c r="J84" t="s">
        <v>23</v>
      </c>
      <c r="K84" t="s">
        <v>17</v>
      </c>
    </row>
    <row r="85" spans="1:11" x14ac:dyDescent="0.3">
      <c r="A85" t="s">
        <v>259</v>
      </c>
      <c r="B85" t="s">
        <v>260</v>
      </c>
      <c r="C85" t="s">
        <v>261</v>
      </c>
      <c r="D85" t="s">
        <v>21</v>
      </c>
      <c r="E85">
        <v>22</v>
      </c>
      <c r="F85" t="s">
        <v>15</v>
      </c>
      <c r="G85">
        <v>253095</v>
      </c>
      <c r="H85">
        <v>151123</v>
      </c>
      <c r="I85">
        <v>16393</v>
      </c>
      <c r="J85" t="s">
        <v>16</v>
      </c>
      <c r="K85" t="s">
        <v>24</v>
      </c>
    </row>
    <row r="86" spans="1:11" x14ac:dyDescent="0.3">
      <c r="A86" t="s">
        <v>262</v>
      </c>
      <c r="B86" t="s">
        <v>219</v>
      </c>
      <c r="C86" t="s">
        <v>263</v>
      </c>
      <c r="D86" t="s">
        <v>44</v>
      </c>
      <c r="E86">
        <v>50</v>
      </c>
      <c r="F86" t="s">
        <v>22</v>
      </c>
      <c r="H86">
        <v>191793</v>
      </c>
      <c r="I86">
        <v>73677</v>
      </c>
      <c r="J86" t="s">
        <v>33</v>
      </c>
      <c r="K86" t="s">
        <v>24</v>
      </c>
    </row>
    <row r="87" spans="1:11" x14ac:dyDescent="0.3">
      <c r="A87" t="s">
        <v>264</v>
      </c>
      <c r="B87" t="s">
        <v>141</v>
      </c>
      <c r="C87" t="s">
        <v>265</v>
      </c>
      <c r="D87" t="s">
        <v>21</v>
      </c>
      <c r="E87">
        <v>29</v>
      </c>
      <c r="F87" t="s">
        <v>59</v>
      </c>
      <c r="G87">
        <v>465709</v>
      </c>
      <c r="H87">
        <v>273873</v>
      </c>
      <c r="I87">
        <v>80064</v>
      </c>
      <c r="J87" t="s">
        <v>33</v>
      </c>
      <c r="K87" t="s">
        <v>17</v>
      </c>
    </row>
    <row r="88" spans="1:11" x14ac:dyDescent="0.3">
      <c r="A88" t="s">
        <v>266</v>
      </c>
      <c r="B88" t="s">
        <v>267</v>
      </c>
      <c r="C88" t="s">
        <v>238</v>
      </c>
      <c r="D88" t="s">
        <v>58</v>
      </c>
      <c r="E88">
        <v>26</v>
      </c>
      <c r="F88" t="s">
        <v>32</v>
      </c>
      <c r="G88">
        <v>243375</v>
      </c>
      <c r="I88">
        <v>103915</v>
      </c>
      <c r="J88" t="s">
        <v>23</v>
      </c>
      <c r="K88" t="s">
        <v>24</v>
      </c>
    </row>
    <row r="89" spans="1:11" x14ac:dyDescent="0.3">
      <c r="A89" t="s">
        <v>268</v>
      </c>
      <c r="B89" t="s">
        <v>269</v>
      </c>
      <c r="C89" t="s">
        <v>270</v>
      </c>
      <c r="D89" t="s">
        <v>14</v>
      </c>
      <c r="E89">
        <v>50</v>
      </c>
      <c r="G89">
        <v>319309</v>
      </c>
      <c r="H89">
        <v>70456</v>
      </c>
      <c r="I89">
        <v>47810</v>
      </c>
      <c r="J89" t="s">
        <v>23</v>
      </c>
      <c r="K89" t="s">
        <v>24</v>
      </c>
    </row>
    <row r="90" spans="1:11" x14ac:dyDescent="0.3">
      <c r="A90" t="s">
        <v>271</v>
      </c>
      <c r="B90" t="s">
        <v>249</v>
      </c>
      <c r="C90" t="s">
        <v>89</v>
      </c>
      <c r="D90" t="s">
        <v>58</v>
      </c>
      <c r="E90">
        <v>52</v>
      </c>
      <c r="F90" t="s">
        <v>59</v>
      </c>
      <c r="G90">
        <v>478333</v>
      </c>
      <c r="H90">
        <v>15424</v>
      </c>
      <c r="I90">
        <v>96576</v>
      </c>
      <c r="J90" t="s">
        <v>33</v>
      </c>
      <c r="K90" t="s">
        <v>24</v>
      </c>
    </row>
    <row r="91" spans="1:11" x14ac:dyDescent="0.3">
      <c r="A91" t="s">
        <v>272</v>
      </c>
      <c r="B91" t="s">
        <v>35</v>
      </c>
      <c r="C91" t="s">
        <v>20</v>
      </c>
      <c r="D91" t="s">
        <v>58</v>
      </c>
      <c r="E91">
        <v>58</v>
      </c>
      <c r="F91" t="s">
        <v>37</v>
      </c>
      <c r="G91">
        <v>259971</v>
      </c>
      <c r="H91">
        <v>86493</v>
      </c>
      <c r="I91">
        <v>35064</v>
      </c>
      <c r="J91" t="s">
        <v>23</v>
      </c>
      <c r="K91" t="s">
        <v>17</v>
      </c>
    </row>
    <row r="92" spans="1:11" x14ac:dyDescent="0.3">
      <c r="A92" t="s">
        <v>273</v>
      </c>
      <c r="B92" t="s">
        <v>274</v>
      </c>
      <c r="C92" t="s">
        <v>275</v>
      </c>
      <c r="D92" t="s">
        <v>14</v>
      </c>
      <c r="E92">
        <v>37</v>
      </c>
      <c r="F92" t="s">
        <v>22</v>
      </c>
      <c r="G92">
        <v>244438</v>
      </c>
      <c r="H92">
        <v>198147</v>
      </c>
      <c r="I92">
        <v>18978</v>
      </c>
      <c r="J92" t="s">
        <v>23</v>
      </c>
      <c r="K92" t="s">
        <v>24</v>
      </c>
    </row>
    <row r="93" spans="1:11" x14ac:dyDescent="0.3">
      <c r="A93" t="s">
        <v>276</v>
      </c>
      <c r="B93" t="s">
        <v>277</v>
      </c>
      <c r="C93" t="s">
        <v>278</v>
      </c>
      <c r="D93" t="s">
        <v>21</v>
      </c>
      <c r="E93">
        <v>44</v>
      </c>
      <c r="F93" t="s">
        <v>32</v>
      </c>
      <c r="G93">
        <v>191107</v>
      </c>
      <c r="H93">
        <v>18042</v>
      </c>
      <c r="I93">
        <v>95357</v>
      </c>
      <c r="J93" t="s">
        <v>33</v>
      </c>
      <c r="K93" t="s">
        <v>24</v>
      </c>
    </row>
    <row r="94" spans="1:11" x14ac:dyDescent="0.3">
      <c r="A94" t="s">
        <v>279</v>
      </c>
      <c r="B94" t="s">
        <v>153</v>
      </c>
      <c r="C94" t="s">
        <v>62</v>
      </c>
      <c r="D94" t="s">
        <v>14</v>
      </c>
      <c r="E94">
        <v>46</v>
      </c>
      <c r="F94" t="s">
        <v>59</v>
      </c>
      <c r="G94">
        <v>26630</v>
      </c>
      <c r="H94">
        <v>44901</v>
      </c>
      <c r="I94">
        <v>141490</v>
      </c>
      <c r="J94" t="s">
        <v>16</v>
      </c>
      <c r="K94" t="s">
        <v>24</v>
      </c>
    </row>
    <row r="95" spans="1:11" x14ac:dyDescent="0.3">
      <c r="A95" t="s">
        <v>280</v>
      </c>
      <c r="B95" t="s">
        <v>281</v>
      </c>
      <c r="C95" t="s">
        <v>282</v>
      </c>
      <c r="D95" t="s">
        <v>48</v>
      </c>
      <c r="E95">
        <v>36</v>
      </c>
      <c r="F95" t="s">
        <v>22</v>
      </c>
      <c r="G95">
        <v>489137</v>
      </c>
      <c r="H95">
        <v>10926</v>
      </c>
      <c r="I95">
        <v>147692</v>
      </c>
      <c r="J95" t="s">
        <v>23</v>
      </c>
      <c r="K95" t="s">
        <v>24</v>
      </c>
    </row>
    <row r="96" spans="1:11" x14ac:dyDescent="0.3">
      <c r="A96" t="s">
        <v>283</v>
      </c>
      <c r="B96" t="s">
        <v>284</v>
      </c>
      <c r="C96" t="s">
        <v>62</v>
      </c>
      <c r="D96" t="s">
        <v>44</v>
      </c>
      <c r="E96">
        <v>22</v>
      </c>
      <c r="F96" t="s">
        <v>15</v>
      </c>
      <c r="G96">
        <v>157271</v>
      </c>
      <c r="H96">
        <v>282313</v>
      </c>
      <c r="I96">
        <v>76580</v>
      </c>
      <c r="J96" t="s">
        <v>16</v>
      </c>
      <c r="K96" t="s">
        <v>17</v>
      </c>
    </row>
    <row r="97" spans="1:11" x14ac:dyDescent="0.3">
      <c r="A97" t="s">
        <v>285</v>
      </c>
      <c r="B97" t="s">
        <v>286</v>
      </c>
      <c r="C97" t="s">
        <v>287</v>
      </c>
      <c r="D97" t="s">
        <v>21</v>
      </c>
      <c r="E97">
        <v>52</v>
      </c>
      <c r="F97" t="s">
        <v>15</v>
      </c>
      <c r="G97">
        <v>450848</v>
      </c>
      <c r="H97">
        <v>97292</v>
      </c>
      <c r="I97">
        <v>91197</v>
      </c>
      <c r="J97" t="s">
        <v>33</v>
      </c>
      <c r="K97" t="s">
        <v>17</v>
      </c>
    </row>
    <row r="98" spans="1:11" x14ac:dyDescent="0.3">
      <c r="A98" t="s">
        <v>288</v>
      </c>
      <c r="B98" t="s">
        <v>289</v>
      </c>
      <c r="C98" t="s">
        <v>290</v>
      </c>
      <c r="D98" t="s">
        <v>58</v>
      </c>
      <c r="E98">
        <v>42</v>
      </c>
      <c r="G98">
        <v>342738</v>
      </c>
      <c r="H98">
        <v>3460</v>
      </c>
      <c r="I98">
        <v>89204</v>
      </c>
      <c r="J98" t="s">
        <v>33</v>
      </c>
      <c r="K98" t="s">
        <v>24</v>
      </c>
    </row>
    <row r="99" spans="1:11" x14ac:dyDescent="0.3">
      <c r="A99" t="s">
        <v>291</v>
      </c>
      <c r="B99" t="s">
        <v>232</v>
      </c>
      <c r="C99" t="s">
        <v>292</v>
      </c>
      <c r="D99" t="s">
        <v>14</v>
      </c>
      <c r="E99">
        <v>55</v>
      </c>
      <c r="F99" t="s">
        <v>28</v>
      </c>
      <c r="G99">
        <v>440079</v>
      </c>
      <c r="H99">
        <v>79425</v>
      </c>
      <c r="I99">
        <v>92567</v>
      </c>
      <c r="J99" t="s">
        <v>23</v>
      </c>
      <c r="K99" t="s">
        <v>24</v>
      </c>
    </row>
    <row r="100" spans="1:11" x14ac:dyDescent="0.3">
      <c r="A100" t="s">
        <v>293</v>
      </c>
      <c r="B100" t="s">
        <v>294</v>
      </c>
      <c r="C100" t="s">
        <v>295</v>
      </c>
      <c r="D100" t="s">
        <v>48</v>
      </c>
      <c r="E100">
        <v>37</v>
      </c>
      <c r="G100">
        <v>367420</v>
      </c>
      <c r="H100">
        <v>62562</v>
      </c>
      <c r="I100">
        <v>46449</v>
      </c>
      <c r="J100" t="s">
        <v>23</v>
      </c>
      <c r="K100" t="s">
        <v>17</v>
      </c>
    </row>
    <row r="101" spans="1:11" x14ac:dyDescent="0.3">
      <c r="A101" t="s">
        <v>296</v>
      </c>
      <c r="B101" t="s">
        <v>297</v>
      </c>
      <c r="C101" t="s">
        <v>165</v>
      </c>
      <c r="D101" t="s">
        <v>44</v>
      </c>
      <c r="E101">
        <v>36</v>
      </c>
      <c r="F101" t="s">
        <v>22</v>
      </c>
      <c r="G101">
        <v>231646</v>
      </c>
      <c r="H101">
        <v>257042</v>
      </c>
      <c r="I101">
        <v>42793</v>
      </c>
      <c r="J101" t="s">
        <v>23</v>
      </c>
      <c r="K101" t="s">
        <v>24</v>
      </c>
    </row>
    <row r="102" spans="1:11" x14ac:dyDescent="0.3">
      <c r="A102" t="s">
        <v>298</v>
      </c>
      <c r="B102" t="s">
        <v>299</v>
      </c>
      <c r="C102" t="s">
        <v>300</v>
      </c>
      <c r="D102" t="s">
        <v>48</v>
      </c>
      <c r="E102">
        <v>45</v>
      </c>
      <c r="F102" t="s">
        <v>90</v>
      </c>
      <c r="G102">
        <v>374377</v>
      </c>
      <c r="H102">
        <v>224721</v>
      </c>
      <c r="I102">
        <v>13573</v>
      </c>
      <c r="J102" t="s">
        <v>16</v>
      </c>
      <c r="K102" t="s">
        <v>24</v>
      </c>
    </row>
    <row r="103" spans="1:11" x14ac:dyDescent="0.3">
      <c r="A103" t="s">
        <v>301</v>
      </c>
      <c r="B103" t="s">
        <v>302</v>
      </c>
      <c r="C103" t="s">
        <v>303</v>
      </c>
      <c r="D103" t="s">
        <v>21</v>
      </c>
      <c r="E103">
        <v>35</v>
      </c>
      <c r="F103" t="s">
        <v>22</v>
      </c>
      <c r="G103">
        <v>114889</v>
      </c>
      <c r="H103">
        <v>170333</v>
      </c>
      <c r="I103">
        <v>52787</v>
      </c>
      <c r="J103" t="s">
        <v>33</v>
      </c>
      <c r="K103" t="s">
        <v>24</v>
      </c>
    </row>
    <row r="104" spans="1:11" x14ac:dyDescent="0.3">
      <c r="A104" t="s">
        <v>304</v>
      </c>
      <c r="B104" t="s">
        <v>305</v>
      </c>
      <c r="C104" t="s">
        <v>306</v>
      </c>
      <c r="D104" t="s">
        <v>48</v>
      </c>
      <c r="E104">
        <v>44</v>
      </c>
      <c r="G104">
        <v>8871</v>
      </c>
      <c r="H104">
        <v>143048</v>
      </c>
      <c r="I104">
        <v>136897</v>
      </c>
      <c r="J104" t="s">
        <v>23</v>
      </c>
      <c r="K104" t="s">
        <v>17</v>
      </c>
    </row>
    <row r="105" spans="1:11" x14ac:dyDescent="0.3">
      <c r="A105" t="s">
        <v>307</v>
      </c>
      <c r="B105" t="s">
        <v>308</v>
      </c>
      <c r="C105" t="s">
        <v>309</v>
      </c>
      <c r="D105" t="s">
        <v>21</v>
      </c>
      <c r="E105">
        <v>44</v>
      </c>
      <c r="F105" t="s">
        <v>59</v>
      </c>
      <c r="G105">
        <v>120703</v>
      </c>
      <c r="H105">
        <v>2085</v>
      </c>
      <c r="I105">
        <v>105067</v>
      </c>
      <c r="J105" t="s">
        <v>16</v>
      </c>
      <c r="K105" t="s">
        <v>24</v>
      </c>
    </row>
    <row r="106" spans="1:11" x14ac:dyDescent="0.3">
      <c r="A106" t="s">
        <v>310</v>
      </c>
      <c r="B106" t="s">
        <v>294</v>
      </c>
      <c r="C106" t="s">
        <v>311</v>
      </c>
      <c r="D106" t="s">
        <v>44</v>
      </c>
      <c r="E106">
        <v>38</v>
      </c>
      <c r="F106" t="s">
        <v>22</v>
      </c>
      <c r="G106">
        <v>198032</v>
      </c>
      <c r="H106">
        <v>115288</v>
      </c>
      <c r="I106">
        <v>131182</v>
      </c>
      <c r="J106" t="s">
        <v>16</v>
      </c>
      <c r="K106" t="s">
        <v>17</v>
      </c>
    </row>
    <row r="107" spans="1:11" x14ac:dyDescent="0.3">
      <c r="A107" t="s">
        <v>312</v>
      </c>
      <c r="B107" t="s">
        <v>313</v>
      </c>
      <c r="C107" t="s">
        <v>86</v>
      </c>
      <c r="D107" t="s">
        <v>44</v>
      </c>
      <c r="E107">
        <v>57</v>
      </c>
      <c r="F107" t="s">
        <v>69</v>
      </c>
      <c r="G107">
        <v>335897</v>
      </c>
      <c r="H107">
        <v>33389</v>
      </c>
      <c r="I107">
        <v>120473</v>
      </c>
      <c r="J107" t="s">
        <v>16</v>
      </c>
      <c r="K107" t="s">
        <v>24</v>
      </c>
    </row>
    <row r="108" spans="1:11" x14ac:dyDescent="0.3">
      <c r="A108" t="s">
        <v>314</v>
      </c>
      <c r="B108" t="s">
        <v>95</v>
      </c>
      <c r="C108" t="s">
        <v>315</v>
      </c>
      <c r="D108" t="s">
        <v>44</v>
      </c>
      <c r="E108">
        <v>33</v>
      </c>
      <c r="F108" t="s">
        <v>37</v>
      </c>
      <c r="G108">
        <v>238803</v>
      </c>
      <c r="I108">
        <v>115518</v>
      </c>
      <c r="J108" t="s">
        <v>23</v>
      </c>
      <c r="K108" t="s">
        <v>17</v>
      </c>
    </row>
    <row r="109" spans="1:11" x14ac:dyDescent="0.3">
      <c r="A109" t="s">
        <v>316</v>
      </c>
      <c r="B109" t="s">
        <v>317</v>
      </c>
      <c r="C109" t="s">
        <v>318</v>
      </c>
      <c r="D109" t="s">
        <v>58</v>
      </c>
      <c r="E109">
        <v>33</v>
      </c>
      <c r="F109" t="s">
        <v>15</v>
      </c>
      <c r="H109">
        <v>136824</v>
      </c>
      <c r="I109">
        <v>97308</v>
      </c>
      <c r="J109" t="s">
        <v>16</v>
      </c>
      <c r="K109" t="s">
        <v>24</v>
      </c>
    </row>
    <row r="110" spans="1:11" x14ac:dyDescent="0.3">
      <c r="A110" t="s">
        <v>319</v>
      </c>
      <c r="B110" t="s">
        <v>320</v>
      </c>
      <c r="C110" t="s">
        <v>204</v>
      </c>
      <c r="D110" t="s">
        <v>48</v>
      </c>
      <c r="E110">
        <v>34</v>
      </c>
      <c r="G110">
        <v>16297</v>
      </c>
      <c r="H110">
        <v>208977</v>
      </c>
      <c r="I110">
        <v>41802</v>
      </c>
      <c r="J110" t="s">
        <v>16</v>
      </c>
      <c r="K110" t="s">
        <v>24</v>
      </c>
    </row>
    <row r="111" spans="1:11" x14ac:dyDescent="0.3">
      <c r="A111" t="s">
        <v>321</v>
      </c>
      <c r="B111" t="s">
        <v>206</v>
      </c>
      <c r="C111" t="s">
        <v>322</v>
      </c>
      <c r="D111" t="s">
        <v>58</v>
      </c>
      <c r="E111">
        <v>35</v>
      </c>
      <c r="F111" t="s">
        <v>90</v>
      </c>
      <c r="G111">
        <v>80267</v>
      </c>
      <c r="H111">
        <v>33899</v>
      </c>
      <c r="I111">
        <v>99816</v>
      </c>
      <c r="J111" t="s">
        <v>33</v>
      </c>
      <c r="K111" t="s">
        <v>17</v>
      </c>
    </row>
    <row r="112" spans="1:11" x14ac:dyDescent="0.3">
      <c r="A112" t="s">
        <v>323</v>
      </c>
      <c r="B112" t="s">
        <v>324</v>
      </c>
      <c r="C112" t="s">
        <v>325</v>
      </c>
      <c r="D112" t="s">
        <v>58</v>
      </c>
      <c r="E112">
        <v>45</v>
      </c>
      <c r="F112" t="s">
        <v>32</v>
      </c>
      <c r="H112">
        <v>48154</v>
      </c>
      <c r="I112">
        <v>50530</v>
      </c>
      <c r="J112" t="s">
        <v>23</v>
      </c>
      <c r="K112" t="s">
        <v>24</v>
      </c>
    </row>
    <row r="113" spans="1:11" x14ac:dyDescent="0.3">
      <c r="A113" t="s">
        <v>326</v>
      </c>
      <c r="B113" t="s">
        <v>327</v>
      </c>
      <c r="C113" t="s">
        <v>328</v>
      </c>
      <c r="D113" t="s">
        <v>14</v>
      </c>
      <c r="E113">
        <v>44</v>
      </c>
      <c r="F113" t="s">
        <v>32</v>
      </c>
      <c r="G113">
        <v>80503</v>
      </c>
      <c r="H113">
        <v>33346</v>
      </c>
      <c r="I113">
        <v>137146</v>
      </c>
      <c r="J113" t="s">
        <v>16</v>
      </c>
      <c r="K113" t="s">
        <v>24</v>
      </c>
    </row>
    <row r="114" spans="1:11" x14ac:dyDescent="0.3">
      <c r="A114" t="s">
        <v>329</v>
      </c>
      <c r="B114" t="s">
        <v>144</v>
      </c>
      <c r="C114" t="s">
        <v>330</v>
      </c>
      <c r="D114" t="s">
        <v>14</v>
      </c>
      <c r="E114">
        <v>29</v>
      </c>
      <c r="F114" t="s">
        <v>28</v>
      </c>
      <c r="G114">
        <v>127763</v>
      </c>
      <c r="H114">
        <v>126448</v>
      </c>
      <c r="I114">
        <v>116625</v>
      </c>
      <c r="J114" t="s">
        <v>16</v>
      </c>
      <c r="K114" t="s">
        <v>17</v>
      </c>
    </row>
    <row r="115" spans="1:11" x14ac:dyDescent="0.3">
      <c r="A115" t="s">
        <v>331</v>
      </c>
      <c r="B115" t="s">
        <v>110</v>
      </c>
      <c r="C115" t="s">
        <v>332</v>
      </c>
      <c r="D115" t="s">
        <v>21</v>
      </c>
      <c r="E115">
        <v>51</v>
      </c>
      <c r="F115" t="s">
        <v>59</v>
      </c>
      <c r="G115">
        <v>281645</v>
      </c>
      <c r="H115">
        <v>292</v>
      </c>
      <c r="I115">
        <v>138939</v>
      </c>
      <c r="J115" t="s">
        <v>16</v>
      </c>
      <c r="K115" t="s">
        <v>17</v>
      </c>
    </row>
    <row r="116" spans="1:11" x14ac:dyDescent="0.3">
      <c r="A116" t="s">
        <v>333</v>
      </c>
      <c r="B116" t="s">
        <v>334</v>
      </c>
      <c r="C116" t="s">
        <v>335</v>
      </c>
      <c r="D116" t="s">
        <v>14</v>
      </c>
      <c r="E116">
        <v>25</v>
      </c>
      <c r="F116" t="s">
        <v>69</v>
      </c>
      <c r="G116">
        <v>398354</v>
      </c>
      <c r="H116">
        <v>123833</v>
      </c>
      <c r="I116">
        <v>31685</v>
      </c>
      <c r="J116" t="s">
        <v>33</v>
      </c>
      <c r="K116" t="s">
        <v>24</v>
      </c>
    </row>
    <row r="117" spans="1:11" x14ac:dyDescent="0.3">
      <c r="A117" t="s">
        <v>336</v>
      </c>
      <c r="B117" t="s">
        <v>337</v>
      </c>
      <c r="C117" t="s">
        <v>338</v>
      </c>
      <c r="D117" t="s">
        <v>58</v>
      </c>
      <c r="E117">
        <v>27</v>
      </c>
      <c r="G117">
        <v>92335</v>
      </c>
      <c r="H117">
        <v>282803</v>
      </c>
      <c r="I117">
        <v>83920</v>
      </c>
      <c r="J117" t="s">
        <v>16</v>
      </c>
      <c r="K117" t="s">
        <v>17</v>
      </c>
    </row>
    <row r="118" spans="1:11" x14ac:dyDescent="0.3">
      <c r="A118" t="s">
        <v>339</v>
      </c>
      <c r="B118" t="s">
        <v>340</v>
      </c>
      <c r="C118" t="s">
        <v>341</v>
      </c>
      <c r="D118" t="s">
        <v>21</v>
      </c>
      <c r="E118">
        <v>32</v>
      </c>
      <c r="F118" t="s">
        <v>37</v>
      </c>
      <c r="G118">
        <v>212363</v>
      </c>
      <c r="H118">
        <v>125112</v>
      </c>
      <c r="I118">
        <v>59296</v>
      </c>
      <c r="J118" t="s">
        <v>33</v>
      </c>
      <c r="K118" t="s">
        <v>17</v>
      </c>
    </row>
    <row r="119" spans="1:11" x14ac:dyDescent="0.3">
      <c r="A119" t="s">
        <v>342</v>
      </c>
      <c r="B119" t="s">
        <v>343</v>
      </c>
      <c r="C119" t="s">
        <v>344</v>
      </c>
      <c r="D119" t="s">
        <v>48</v>
      </c>
      <c r="E119">
        <v>56</v>
      </c>
      <c r="F119" t="s">
        <v>32</v>
      </c>
      <c r="H119">
        <v>108865</v>
      </c>
      <c r="I119">
        <v>16616</v>
      </c>
      <c r="J119" t="s">
        <v>23</v>
      </c>
      <c r="K119" t="s">
        <v>24</v>
      </c>
    </row>
    <row r="120" spans="1:11" x14ac:dyDescent="0.3">
      <c r="A120" t="s">
        <v>345</v>
      </c>
      <c r="B120" t="s">
        <v>327</v>
      </c>
      <c r="C120" t="s">
        <v>346</v>
      </c>
      <c r="D120" t="s">
        <v>44</v>
      </c>
      <c r="E120">
        <v>21</v>
      </c>
      <c r="F120" t="s">
        <v>37</v>
      </c>
      <c r="G120">
        <v>398885</v>
      </c>
      <c r="I120">
        <v>82448</v>
      </c>
      <c r="J120" t="s">
        <v>33</v>
      </c>
      <c r="K120" t="s">
        <v>24</v>
      </c>
    </row>
    <row r="121" spans="1:11" x14ac:dyDescent="0.3">
      <c r="A121" t="s">
        <v>347</v>
      </c>
      <c r="B121" t="s">
        <v>61</v>
      </c>
      <c r="C121" t="s">
        <v>348</v>
      </c>
      <c r="D121" t="s">
        <v>14</v>
      </c>
      <c r="E121">
        <v>28</v>
      </c>
      <c r="F121" t="s">
        <v>22</v>
      </c>
      <c r="G121">
        <v>175622</v>
      </c>
      <c r="I121">
        <v>115068</v>
      </c>
      <c r="J121" t="s">
        <v>23</v>
      </c>
      <c r="K121" t="s">
        <v>24</v>
      </c>
    </row>
    <row r="122" spans="1:11" x14ac:dyDescent="0.3">
      <c r="A122" t="s">
        <v>349</v>
      </c>
      <c r="B122" t="s">
        <v>80</v>
      </c>
      <c r="C122" t="s">
        <v>350</v>
      </c>
      <c r="D122" t="s">
        <v>14</v>
      </c>
      <c r="E122">
        <v>46</v>
      </c>
      <c r="F122" t="s">
        <v>22</v>
      </c>
      <c r="G122">
        <v>224551</v>
      </c>
      <c r="H122">
        <v>121925</v>
      </c>
      <c r="I122">
        <v>116065</v>
      </c>
      <c r="J122" t="s">
        <v>33</v>
      </c>
      <c r="K122" t="s">
        <v>17</v>
      </c>
    </row>
    <row r="123" spans="1:11" x14ac:dyDescent="0.3">
      <c r="A123" t="s">
        <v>351</v>
      </c>
      <c r="B123" t="s">
        <v>144</v>
      </c>
      <c r="C123" t="s">
        <v>352</v>
      </c>
      <c r="D123" t="s">
        <v>21</v>
      </c>
      <c r="E123">
        <v>46</v>
      </c>
      <c r="F123" t="s">
        <v>15</v>
      </c>
      <c r="G123">
        <v>377318</v>
      </c>
      <c r="H123">
        <v>163328</v>
      </c>
      <c r="I123">
        <v>42694</v>
      </c>
      <c r="J123" t="s">
        <v>23</v>
      </c>
      <c r="K123" t="s">
        <v>24</v>
      </c>
    </row>
    <row r="124" spans="1:11" x14ac:dyDescent="0.3">
      <c r="A124" t="s">
        <v>353</v>
      </c>
      <c r="B124" t="s">
        <v>144</v>
      </c>
      <c r="C124" t="s">
        <v>354</v>
      </c>
      <c r="D124" t="s">
        <v>14</v>
      </c>
      <c r="E124">
        <v>43</v>
      </c>
      <c r="F124" t="s">
        <v>59</v>
      </c>
      <c r="G124">
        <v>54798</v>
      </c>
      <c r="H124">
        <v>249335</v>
      </c>
      <c r="I124">
        <v>135806</v>
      </c>
      <c r="J124" t="s">
        <v>23</v>
      </c>
      <c r="K124" t="s">
        <v>17</v>
      </c>
    </row>
    <row r="125" spans="1:11" x14ac:dyDescent="0.3">
      <c r="A125" t="s">
        <v>355</v>
      </c>
      <c r="B125" t="s">
        <v>356</v>
      </c>
      <c r="C125" t="s">
        <v>357</v>
      </c>
      <c r="D125" t="s">
        <v>44</v>
      </c>
      <c r="E125">
        <v>40</v>
      </c>
      <c r="F125" t="s">
        <v>59</v>
      </c>
      <c r="G125">
        <v>345857</v>
      </c>
      <c r="H125">
        <v>211857</v>
      </c>
      <c r="I125">
        <v>111513</v>
      </c>
      <c r="J125" t="s">
        <v>23</v>
      </c>
      <c r="K125" t="s">
        <v>17</v>
      </c>
    </row>
    <row r="126" spans="1:11" x14ac:dyDescent="0.3">
      <c r="A126" t="s">
        <v>358</v>
      </c>
      <c r="B126" t="s">
        <v>359</v>
      </c>
      <c r="C126" t="s">
        <v>127</v>
      </c>
      <c r="D126" t="s">
        <v>14</v>
      </c>
      <c r="E126">
        <v>44</v>
      </c>
      <c r="F126" t="s">
        <v>22</v>
      </c>
      <c r="G126">
        <v>276981</v>
      </c>
      <c r="H126">
        <v>182803</v>
      </c>
      <c r="I126">
        <v>37765</v>
      </c>
      <c r="J126" t="s">
        <v>16</v>
      </c>
      <c r="K126" t="s">
        <v>24</v>
      </c>
    </row>
    <row r="127" spans="1:11" x14ac:dyDescent="0.3">
      <c r="A127" t="s">
        <v>360</v>
      </c>
      <c r="B127" t="s">
        <v>294</v>
      </c>
      <c r="C127" t="s">
        <v>361</v>
      </c>
      <c r="D127" t="s">
        <v>44</v>
      </c>
      <c r="E127">
        <v>45</v>
      </c>
      <c r="F127" t="s">
        <v>37</v>
      </c>
      <c r="G127">
        <v>408824</v>
      </c>
      <c r="H127">
        <v>142277</v>
      </c>
      <c r="I127">
        <v>22112</v>
      </c>
      <c r="J127" t="s">
        <v>23</v>
      </c>
      <c r="K127" t="s">
        <v>17</v>
      </c>
    </row>
    <row r="128" spans="1:11" x14ac:dyDescent="0.3">
      <c r="A128" t="s">
        <v>362</v>
      </c>
      <c r="B128" t="s">
        <v>363</v>
      </c>
      <c r="C128" t="s">
        <v>40</v>
      </c>
      <c r="D128" t="s">
        <v>48</v>
      </c>
      <c r="E128">
        <v>47</v>
      </c>
      <c r="F128" t="s">
        <v>69</v>
      </c>
      <c r="G128">
        <v>210402</v>
      </c>
      <c r="H128">
        <v>94577</v>
      </c>
      <c r="I128">
        <v>60506</v>
      </c>
      <c r="J128" t="s">
        <v>23</v>
      </c>
      <c r="K128" t="s">
        <v>24</v>
      </c>
    </row>
    <row r="129" spans="1:11" x14ac:dyDescent="0.3">
      <c r="A129" t="s">
        <v>364</v>
      </c>
      <c r="B129" t="s">
        <v>47</v>
      </c>
      <c r="C129" t="s">
        <v>365</v>
      </c>
      <c r="D129" t="s">
        <v>44</v>
      </c>
      <c r="E129">
        <v>41</v>
      </c>
      <c r="F129" t="s">
        <v>28</v>
      </c>
      <c r="G129">
        <v>119547</v>
      </c>
      <c r="H129">
        <v>96291</v>
      </c>
      <c r="I129">
        <v>101237</v>
      </c>
      <c r="J129" t="s">
        <v>16</v>
      </c>
      <c r="K129" t="s">
        <v>17</v>
      </c>
    </row>
    <row r="130" spans="1:11" x14ac:dyDescent="0.3">
      <c r="A130" t="s">
        <v>366</v>
      </c>
      <c r="B130" t="s">
        <v>340</v>
      </c>
      <c r="C130" t="s">
        <v>367</v>
      </c>
      <c r="D130" t="s">
        <v>14</v>
      </c>
      <c r="E130">
        <v>26</v>
      </c>
      <c r="F130" t="s">
        <v>22</v>
      </c>
      <c r="G130">
        <v>328510</v>
      </c>
      <c r="H130">
        <v>112717</v>
      </c>
      <c r="I130">
        <v>147135</v>
      </c>
      <c r="J130" t="s">
        <v>33</v>
      </c>
      <c r="K130" t="s">
        <v>24</v>
      </c>
    </row>
    <row r="131" spans="1:11" x14ac:dyDescent="0.3">
      <c r="A131" t="s">
        <v>368</v>
      </c>
      <c r="B131" t="s">
        <v>369</v>
      </c>
      <c r="C131" t="s">
        <v>370</v>
      </c>
      <c r="D131" t="s">
        <v>14</v>
      </c>
      <c r="E131">
        <v>28</v>
      </c>
      <c r="F131" t="s">
        <v>15</v>
      </c>
      <c r="G131">
        <v>478900</v>
      </c>
      <c r="H131">
        <v>35361</v>
      </c>
      <c r="I131">
        <v>83845</v>
      </c>
      <c r="J131" t="s">
        <v>33</v>
      </c>
      <c r="K131" t="s">
        <v>17</v>
      </c>
    </row>
    <row r="132" spans="1:11" x14ac:dyDescent="0.3">
      <c r="A132" t="s">
        <v>371</v>
      </c>
      <c r="B132" t="s">
        <v>372</v>
      </c>
      <c r="C132" t="s">
        <v>373</v>
      </c>
      <c r="D132" t="s">
        <v>44</v>
      </c>
      <c r="E132">
        <v>47</v>
      </c>
      <c r="F132" t="s">
        <v>90</v>
      </c>
      <c r="G132">
        <v>406562</v>
      </c>
      <c r="H132">
        <v>59465</v>
      </c>
      <c r="I132">
        <v>64511</v>
      </c>
      <c r="J132" t="s">
        <v>33</v>
      </c>
      <c r="K132" t="s">
        <v>17</v>
      </c>
    </row>
    <row r="133" spans="1:11" x14ac:dyDescent="0.3">
      <c r="A133" t="s">
        <v>374</v>
      </c>
      <c r="B133" t="s">
        <v>375</v>
      </c>
      <c r="C133" t="s">
        <v>376</v>
      </c>
      <c r="D133" t="s">
        <v>21</v>
      </c>
      <c r="E133">
        <v>47</v>
      </c>
      <c r="F133" t="s">
        <v>22</v>
      </c>
      <c r="G133">
        <v>301525</v>
      </c>
      <c r="H133">
        <v>127024</v>
      </c>
      <c r="I133">
        <v>142319</v>
      </c>
      <c r="J133" t="s">
        <v>23</v>
      </c>
      <c r="K133" t="s">
        <v>17</v>
      </c>
    </row>
    <row r="134" spans="1:11" x14ac:dyDescent="0.3">
      <c r="A134" t="s">
        <v>377</v>
      </c>
      <c r="B134" t="s">
        <v>50</v>
      </c>
      <c r="C134" t="s">
        <v>378</v>
      </c>
      <c r="D134" t="s">
        <v>44</v>
      </c>
      <c r="E134">
        <v>46</v>
      </c>
      <c r="F134" t="s">
        <v>90</v>
      </c>
      <c r="G134">
        <v>455252</v>
      </c>
      <c r="H134">
        <v>183492</v>
      </c>
      <c r="I134">
        <v>138614</v>
      </c>
      <c r="J134" t="s">
        <v>33</v>
      </c>
      <c r="K134" t="s">
        <v>17</v>
      </c>
    </row>
    <row r="135" spans="1:11" x14ac:dyDescent="0.3">
      <c r="A135" t="s">
        <v>379</v>
      </c>
      <c r="B135" t="s">
        <v>380</v>
      </c>
      <c r="C135" t="s">
        <v>381</v>
      </c>
      <c r="D135" t="s">
        <v>58</v>
      </c>
      <c r="E135">
        <v>49</v>
      </c>
      <c r="G135">
        <v>26460</v>
      </c>
      <c r="H135">
        <v>74486</v>
      </c>
      <c r="I135">
        <v>132541</v>
      </c>
      <c r="J135" t="s">
        <v>23</v>
      </c>
      <c r="K135" t="s">
        <v>24</v>
      </c>
    </row>
    <row r="136" spans="1:11" x14ac:dyDescent="0.3">
      <c r="A136" t="s">
        <v>382</v>
      </c>
      <c r="B136" t="s">
        <v>383</v>
      </c>
      <c r="C136" t="s">
        <v>251</v>
      </c>
      <c r="D136" t="s">
        <v>58</v>
      </c>
      <c r="E136">
        <v>35</v>
      </c>
      <c r="F136" t="s">
        <v>32</v>
      </c>
      <c r="G136">
        <v>12234</v>
      </c>
      <c r="H136">
        <v>72171</v>
      </c>
      <c r="I136">
        <v>98331</v>
      </c>
      <c r="J136" t="s">
        <v>23</v>
      </c>
      <c r="K136" t="s">
        <v>24</v>
      </c>
    </row>
    <row r="137" spans="1:11" x14ac:dyDescent="0.3">
      <c r="A137" t="s">
        <v>384</v>
      </c>
      <c r="B137" t="s">
        <v>197</v>
      </c>
      <c r="C137" t="s">
        <v>105</v>
      </c>
      <c r="D137" t="s">
        <v>14</v>
      </c>
      <c r="E137">
        <v>54</v>
      </c>
      <c r="F137" t="s">
        <v>59</v>
      </c>
      <c r="G137">
        <v>211597</v>
      </c>
      <c r="H137">
        <v>8683</v>
      </c>
      <c r="I137">
        <v>110922</v>
      </c>
      <c r="J137" t="s">
        <v>23</v>
      </c>
      <c r="K137" t="s">
        <v>24</v>
      </c>
    </row>
    <row r="138" spans="1:11" x14ac:dyDescent="0.3">
      <c r="A138" t="s">
        <v>385</v>
      </c>
      <c r="B138" t="s">
        <v>386</v>
      </c>
      <c r="C138" t="s">
        <v>238</v>
      </c>
      <c r="D138" t="s">
        <v>21</v>
      </c>
      <c r="E138">
        <v>34</v>
      </c>
      <c r="F138" t="s">
        <v>90</v>
      </c>
      <c r="G138">
        <v>84415</v>
      </c>
      <c r="I138">
        <v>22476</v>
      </c>
      <c r="J138" t="s">
        <v>33</v>
      </c>
      <c r="K138" t="s">
        <v>24</v>
      </c>
    </row>
    <row r="139" spans="1:11" x14ac:dyDescent="0.3">
      <c r="A139" t="s">
        <v>387</v>
      </c>
      <c r="B139" t="s">
        <v>260</v>
      </c>
      <c r="C139" t="s">
        <v>388</v>
      </c>
      <c r="D139" t="s">
        <v>58</v>
      </c>
      <c r="E139">
        <v>21</v>
      </c>
      <c r="F139" t="s">
        <v>69</v>
      </c>
      <c r="G139">
        <v>21816</v>
      </c>
      <c r="I139">
        <v>54938</v>
      </c>
      <c r="J139" t="s">
        <v>16</v>
      </c>
      <c r="K139" t="s">
        <v>24</v>
      </c>
    </row>
    <row r="140" spans="1:11" x14ac:dyDescent="0.3">
      <c r="A140" t="s">
        <v>389</v>
      </c>
      <c r="B140" t="s">
        <v>390</v>
      </c>
      <c r="C140" t="s">
        <v>93</v>
      </c>
      <c r="D140" t="s">
        <v>44</v>
      </c>
      <c r="E140">
        <v>31</v>
      </c>
      <c r="F140" t="s">
        <v>28</v>
      </c>
      <c r="G140">
        <v>318474</v>
      </c>
      <c r="H140">
        <v>242458</v>
      </c>
      <c r="I140">
        <v>87577</v>
      </c>
      <c r="J140" t="s">
        <v>23</v>
      </c>
      <c r="K140" t="s">
        <v>17</v>
      </c>
    </row>
    <row r="141" spans="1:11" x14ac:dyDescent="0.3">
      <c r="A141" t="s">
        <v>391</v>
      </c>
      <c r="B141" t="s">
        <v>392</v>
      </c>
      <c r="C141" t="s">
        <v>393</v>
      </c>
      <c r="D141" t="s">
        <v>44</v>
      </c>
      <c r="E141">
        <v>38</v>
      </c>
      <c r="G141">
        <v>479125</v>
      </c>
      <c r="H141">
        <v>84817</v>
      </c>
      <c r="I141">
        <v>138177</v>
      </c>
      <c r="J141" t="s">
        <v>23</v>
      </c>
      <c r="K141" t="s">
        <v>17</v>
      </c>
    </row>
    <row r="142" spans="1:11" x14ac:dyDescent="0.3">
      <c r="A142" t="s">
        <v>394</v>
      </c>
      <c r="B142" t="s">
        <v>395</v>
      </c>
      <c r="C142" t="s">
        <v>396</v>
      </c>
      <c r="D142" t="s">
        <v>58</v>
      </c>
      <c r="E142">
        <v>48</v>
      </c>
      <c r="G142">
        <v>153691</v>
      </c>
      <c r="H142">
        <v>104898</v>
      </c>
      <c r="I142">
        <v>102853</v>
      </c>
      <c r="J142" t="s">
        <v>23</v>
      </c>
      <c r="K142" t="s">
        <v>17</v>
      </c>
    </row>
    <row r="143" spans="1:11" x14ac:dyDescent="0.3">
      <c r="A143" t="s">
        <v>397</v>
      </c>
      <c r="B143" t="s">
        <v>398</v>
      </c>
      <c r="C143" t="s">
        <v>399</v>
      </c>
      <c r="D143" t="s">
        <v>44</v>
      </c>
      <c r="E143">
        <v>58</v>
      </c>
      <c r="H143">
        <v>192321</v>
      </c>
      <c r="I143">
        <v>97508</v>
      </c>
      <c r="J143" t="s">
        <v>23</v>
      </c>
      <c r="K143" t="s">
        <v>24</v>
      </c>
    </row>
    <row r="144" spans="1:11" x14ac:dyDescent="0.3">
      <c r="A144" t="s">
        <v>400</v>
      </c>
      <c r="B144" t="s">
        <v>401</v>
      </c>
      <c r="C144" t="s">
        <v>402</v>
      </c>
      <c r="D144" t="s">
        <v>58</v>
      </c>
      <c r="E144">
        <v>57</v>
      </c>
      <c r="F144" t="s">
        <v>37</v>
      </c>
      <c r="G144">
        <v>404248</v>
      </c>
      <c r="H144">
        <v>231223</v>
      </c>
      <c r="I144">
        <v>140470</v>
      </c>
      <c r="J144" t="s">
        <v>23</v>
      </c>
      <c r="K144" t="s">
        <v>17</v>
      </c>
    </row>
    <row r="145" spans="1:11" x14ac:dyDescent="0.3">
      <c r="A145" t="s">
        <v>403</v>
      </c>
      <c r="B145" t="s">
        <v>404</v>
      </c>
      <c r="C145" t="s">
        <v>405</v>
      </c>
      <c r="D145" t="s">
        <v>21</v>
      </c>
      <c r="E145">
        <v>44</v>
      </c>
      <c r="F145" t="s">
        <v>15</v>
      </c>
      <c r="G145">
        <v>423641</v>
      </c>
      <c r="H145">
        <v>184884</v>
      </c>
      <c r="I145">
        <v>139128</v>
      </c>
      <c r="J145" t="s">
        <v>23</v>
      </c>
      <c r="K145" t="s">
        <v>24</v>
      </c>
    </row>
    <row r="146" spans="1:11" x14ac:dyDescent="0.3">
      <c r="A146" t="s">
        <v>406</v>
      </c>
      <c r="B146" t="s">
        <v>107</v>
      </c>
      <c r="C146" t="s">
        <v>256</v>
      </c>
      <c r="D146" t="s">
        <v>48</v>
      </c>
      <c r="E146">
        <v>40</v>
      </c>
      <c r="F146" t="s">
        <v>15</v>
      </c>
      <c r="G146">
        <v>136662</v>
      </c>
      <c r="H146">
        <v>133410</v>
      </c>
      <c r="I146">
        <v>129107</v>
      </c>
      <c r="J146" t="s">
        <v>23</v>
      </c>
      <c r="K146" t="s">
        <v>24</v>
      </c>
    </row>
    <row r="147" spans="1:11" x14ac:dyDescent="0.3">
      <c r="A147" t="s">
        <v>407</v>
      </c>
      <c r="B147" t="s">
        <v>408</v>
      </c>
      <c r="C147" t="s">
        <v>111</v>
      </c>
      <c r="D147" t="s">
        <v>58</v>
      </c>
      <c r="E147">
        <v>29</v>
      </c>
      <c r="F147" t="s">
        <v>37</v>
      </c>
      <c r="G147">
        <v>190978</v>
      </c>
      <c r="H147">
        <v>232713</v>
      </c>
      <c r="I147">
        <v>133554</v>
      </c>
      <c r="J147" t="s">
        <v>23</v>
      </c>
      <c r="K147" t="s">
        <v>24</v>
      </c>
    </row>
    <row r="148" spans="1:11" x14ac:dyDescent="0.3">
      <c r="A148" t="s">
        <v>409</v>
      </c>
      <c r="B148" t="s">
        <v>410</v>
      </c>
      <c r="C148" t="s">
        <v>221</v>
      </c>
      <c r="D148" t="s">
        <v>44</v>
      </c>
      <c r="E148">
        <v>56</v>
      </c>
      <c r="F148" t="s">
        <v>37</v>
      </c>
      <c r="G148">
        <v>3195</v>
      </c>
      <c r="H148">
        <v>296213</v>
      </c>
      <c r="I148">
        <v>58646</v>
      </c>
      <c r="J148" t="s">
        <v>16</v>
      </c>
      <c r="K148" t="s">
        <v>24</v>
      </c>
    </row>
    <row r="149" spans="1:11" x14ac:dyDescent="0.3">
      <c r="A149" t="s">
        <v>411</v>
      </c>
      <c r="B149" t="s">
        <v>412</v>
      </c>
      <c r="C149" t="s">
        <v>413</v>
      </c>
      <c r="D149" t="s">
        <v>21</v>
      </c>
      <c r="E149">
        <v>26</v>
      </c>
      <c r="F149" t="s">
        <v>37</v>
      </c>
      <c r="G149">
        <v>320584</v>
      </c>
      <c r="H149">
        <v>211363</v>
      </c>
      <c r="I149">
        <v>73878</v>
      </c>
      <c r="J149" t="s">
        <v>16</v>
      </c>
      <c r="K149" t="s">
        <v>24</v>
      </c>
    </row>
    <row r="150" spans="1:11" x14ac:dyDescent="0.3">
      <c r="A150" t="s">
        <v>414</v>
      </c>
      <c r="B150" t="s">
        <v>80</v>
      </c>
      <c r="C150" t="s">
        <v>415</v>
      </c>
      <c r="D150" t="s">
        <v>44</v>
      </c>
      <c r="E150">
        <v>33</v>
      </c>
      <c r="F150" t="s">
        <v>69</v>
      </c>
      <c r="G150">
        <v>194588</v>
      </c>
      <c r="H150">
        <v>282284</v>
      </c>
      <c r="I150">
        <v>104731</v>
      </c>
      <c r="J150" t="s">
        <v>16</v>
      </c>
      <c r="K150" t="s">
        <v>24</v>
      </c>
    </row>
    <row r="151" spans="1:11" x14ac:dyDescent="0.3">
      <c r="A151" t="s">
        <v>416</v>
      </c>
      <c r="B151" t="s">
        <v>417</v>
      </c>
      <c r="C151" t="s">
        <v>335</v>
      </c>
      <c r="D151" t="s">
        <v>58</v>
      </c>
      <c r="E151">
        <v>44</v>
      </c>
      <c r="F151" t="s">
        <v>69</v>
      </c>
      <c r="G151">
        <v>85080</v>
      </c>
      <c r="H151">
        <v>89756</v>
      </c>
      <c r="I151">
        <v>40451</v>
      </c>
      <c r="J151" t="s">
        <v>23</v>
      </c>
      <c r="K151" t="s">
        <v>24</v>
      </c>
    </row>
    <row r="152" spans="1:11" x14ac:dyDescent="0.3">
      <c r="A152" t="s">
        <v>418</v>
      </c>
      <c r="B152" t="s">
        <v>419</v>
      </c>
      <c r="C152" t="s">
        <v>420</v>
      </c>
      <c r="D152" t="s">
        <v>14</v>
      </c>
      <c r="E152">
        <v>48</v>
      </c>
      <c r="F152" t="s">
        <v>90</v>
      </c>
      <c r="G152">
        <v>166669</v>
      </c>
      <c r="H152">
        <v>278302</v>
      </c>
      <c r="I152">
        <v>39409</v>
      </c>
      <c r="J152" t="s">
        <v>16</v>
      </c>
      <c r="K152" t="s">
        <v>17</v>
      </c>
    </row>
    <row r="153" spans="1:11" x14ac:dyDescent="0.3">
      <c r="A153" t="s">
        <v>421</v>
      </c>
      <c r="B153" t="s">
        <v>422</v>
      </c>
      <c r="C153" t="s">
        <v>423</v>
      </c>
      <c r="D153" t="s">
        <v>44</v>
      </c>
      <c r="E153">
        <v>39</v>
      </c>
      <c r="H153">
        <v>45731</v>
      </c>
      <c r="I153">
        <v>146843</v>
      </c>
      <c r="J153" t="s">
        <v>33</v>
      </c>
      <c r="K153" t="s">
        <v>17</v>
      </c>
    </row>
    <row r="154" spans="1:11" x14ac:dyDescent="0.3">
      <c r="A154" t="s">
        <v>424</v>
      </c>
      <c r="B154" t="s">
        <v>425</v>
      </c>
      <c r="C154" t="s">
        <v>426</v>
      </c>
      <c r="D154" t="s">
        <v>21</v>
      </c>
      <c r="E154">
        <v>30</v>
      </c>
      <c r="H154">
        <v>3666</v>
      </c>
      <c r="I154">
        <v>75322</v>
      </c>
      <c r="J154" t="s">
        <v>16</v>
      </c>
      <c r="K154" t="s">
        <v>17</v>
      </c>
    </row>
    <row r="155" spans="1:11" x14ac:dyDescent="0.3">
      <c r="A155" t="s">
        <v>427</v>
      </c>
      <c r="B155" t="s">
        <v>267</v>
      </c>
      <c r="C155" t="s">
        <v>428</v>
      </c>
      <c r="D155" t="s">
        <v>58</v>
      </c>
      <c r="E155">
        <v>23</v>
      </c>
      <c r="F155" t="s">
        <v>28</v>
      </c>
      <c r="G155">
        <v>465364</v>
      </c>
      <c r="I155">
        <v>69069</v>
      </c>
      <c r="J155" t="s">
        <v>16</v>
      </c>
      <c r="K155" t="s">
        <v>17</v>
      </c>
    </row>
    <row r="156" spans="1:11" x14ac:dyDescent="0.3">
      <c r="A156" t="s">
        <v>429</v>
      </c>
      <c r="B156" t="s">
        <v>430</v>
      </c>
      <c r="C156" t="s">
        <v>431</v>
      </c>
      <c r="D156" t="s">
        <v>44</v>
      </c>
      <c r="E156">
        <v>59</v>
      </c>
      <c r="F156" t="s">
        <v>22</v>
      </c>
      <c r="G156">
        <v>466360</v>
      </c>
      <c r="H156">
        <v>287966</v>
      </c>
      <c r="I156">
        <v>78186</v>
      </c>
      <c r="J156" t="s">
        <v>16</v>
      </c>
      <c r="K156" t="s">
        <v>24</v>
      </c>
    </row>
    <row r="157" spans="1:11" x14ac:dyDescent="0.3">
      <c r="A157" t="s">
        <v>432</v>
      </c>
      <c r="B157" t="s">
        <v>294</v>
      </c>
      <c r="C157" t="s">
        <v>433</v>
      </c>
      <c r="D157" t="s">
        <v>14</v>
      </c>
      <c r="E157">
        <v>32</v>
      </c>
      <c r="F157" t="s">
        <v>32</v>
      </c>
      <c r="G157">
        <v>158712</v>
      </c>
      <c r="H157">
        <v>293271</v>
      </c>
      <c r="I157">
        <v>64545</v>
      </c>
      <c r="J157" t="s">
        <v>23</v>
      </c>
      <c r="K157" t="s">
        <v>24</v>
      </c>
    </row>
    <row r="158" spans="1:11" x14ac:dyDescent="0.3">
      <c r="A158" t="s">
        <v>434</v>
      </c>
      <c r="B158" t="s">
        <v>435</v>
      </c>
      <c r="C158" t="s">
        <v>436</v>
      </c>
      <c r="D158" t="s">
        <v>14</v>
      </c>
      <c r="E158">
        <v>23</v>
      </c>
      <c r="F158" t="s">
        <v>22</v>
      </c>
      <c r="G158">
        <v>479288</v>
      </c>
      <c r="H158">
        <v>196333</v>
      </c>
      <c r="I158">
        <v>54686</v>
      </c>
      <c r="J158" t="s">
        <v>33</v>
      </c>
      <c r="K158" t="s">
        <v>17</v>
      </c>
    </row>
    <row r="159" spans="1:11" x14ac:dyDescent="0.3">
      <c r="A159" t="s">
        <v>437</v>
      </c>
      <c r="B159" t="s">
        <v>438</v>
      </c>
      <c r="C159" t="s">
        <v>439</v>
      </c>
      <c r="D159" t="s">
        <v>48</v>
      </c>
      <c r="E159">
        <v>26</v>
      </c>
      <c r="G159">
        <v>410416</v>
      </c>
      <c r="H159">
        <v>278605</v>
      </c>
      <c r="I159">
        <v>117063</v>
      </c>
      <c r="J159" t="s">
        <v>33</v>
      </c>
      <c r="K159" t="s">
        <v>24</v>
      </c>
    </row>
    <row r="160" spans="1:11" x14ac:dyDescent="0.3">
      <c r="A160" t="s">
        <v>440</v>
      </c>
      <c r="B160" t="s">
        <v>441</v>
      </c>
      <c r="C160" t="s">
        <v>89</v>
      </c>
      <c r="D160" t="s">
        <v>21</v>
      </c>
      <c r="E160">
        <v>25</v>
      </c>
      <c r="F160" t="s">
        <v>28</v>
      </c>
      <c r="G160">
        <v>155788</v>
      </c>
      <c r="H160">
        <v>249922</v>
      </c>
      <c r="I160">
        <v>130004</v>
      </c>
      <c r="J160" t="s">
        <v>23</v>
      </c>
      <c r="K160" t="s">
        <v>17</v>
      </c>
    </row>
    <row r="161" spans="1:11" x14ac:dyDescent="0.3">
      <c r="A161" t="s">
        <v>442</v>
      </c>
      <c r="B161" t="s">
        <v>19</v>
      </c>
      <c r="C161" t="s">
        <v>177</v>
      </c>
      <c r="D161" t="s">
        <v>44</v>
      </c>
      <c r="E161">
        <v>35</v>
      </c>
      <c r="F161" t="s">
        <v>32</v>
      </c>
      <c r="G161">
        <v>370236</v>
      </c>
      <c r="H161">
        <v>252371</v>
      </c>
      <c r="I161">
        <v>42405</v>
      </c>
      <c r="J161" t="s">
        <v>33</v>
      </c>
      <c r="K161" t="s">
        <v>17</v>
      </c>
    </row>
    <row r="162" spans="1:11" x14ac:dyDescent="0.3">
      <c r="A162" t="s">
        <v>443</v>
      </c>
      <c r="B162" t="s">
        <v>363</v>
      </c>
      <c r="C162" t="s">
        <v>444</v>
      </c>
      <c r="D162" t="s">
        <v>58</v>
      </c>
      <c r="E162">
        <v>59</v>
      </c>
      <c r="F162" t="s">
        <v>37</v>
      </c>
      <c r="H162">
        <v>198348</v>
      </c>
      <c r="I162">
        <v>63502</v>
      </c>
      <c r="J162" t="s">
        <v>23</v>
      </c>
      <c r="K162" t="s">
        <v>24</v>
      </c>
    </row>
    <row r="163" spans="1:11" x14ac:dyDescent="0.3">
      <c r="A163" t="s">
        <v>445</v>
      </c>
      <c r="B163" t="s">
        <v>446</v>
      </c>
      <c r="C163" t="s">
        <v>447</v>
      </c>
      <c r="D163" t="s">
        <v>58</v>
      </c>
      <c r="E163">
        <v>47</v>
      </c>
      <c r="F163" t="s">
        <v>15</v>
      </c>
      <c r="G163">
        <v>196807</v>
      </c>
      <c r="H163">
        <v>100862</v>
      </c>
      <c r="I163">
        <v>96119</v>
      </c>
      <c r="J163" t="s">
        <v>23</v>
      </c>
      <c r="K163" t="s">
        <v>17</v>
      </c>
    </row>
    <row r="164" spans="1:11" x14ac:dyDescent="0.3">
      <c r="A164" t="s">
        <v>448</v>
      </c>
      <c r="B164" t="s">
        <v>449</v>
      </c>
      <c r="C164" t="s">
        <v>450</v>
      </c>
      <c r="D164" t="s">
        <v>21</v>
      </c>
      <c r="E164">
        <v>27</v>
      </c>
      <c r="F164" t="s">
        <v>15</v>
      </c>
      <c r="G164">
        <v>249502</v>
      </c>
      <c r="H164">
        <v>239466</v>
      </c>
      <c r="I164">
        <v>50803</v>
      </c>
      <c r="J164" t="s">
        <v>33</v>
      </c>
      <c r="K164" t="s">
        <v>17</v>
      </c>
    </row>
    <row r="165" spans="1:11" x14ac:dyDescent="0.3">
      <c r="A165" t="s">
        <v>451</v>
      </c>
      <c r="B165" t="s">
        <v>452</v>
      </c>
      <c r="C165" t="s">
        <v>453</v>
      </c>
      <c r="D165" t="s">
        <v>14</v>
      </c>
      <c r="E165">
        <v>49</v>
      </c>
      <c r="F165" t="s">
        <v>37</v>
      </c>
      <c r="G165">
        <v>1348</v>
      </c>
      <c r="H165">
        <v>278297</v>
      </c>
      <c r="I165">
        <v>57909</v>
      </c>
      <c r="J165" t="s">
        <v>16</v>
      </c>
      <c r="K165" t="s">
        <v>24</v>
      </c>
    </row>
    <row r="166" spans="1:11" x14ac:dyDescent="0.3">
      <c r="A166" t="s">
        <v>454</v>
      </c>
      <c r="B166" t="s">
        <v>455</v>
      </c>
      <c r="C166" t="s">
        <v>335</v>
      </c>
      <c r="D166" t="s">
        <v>14</v>
      </c>
      <c r="E166">
        <v>35</v>
      </c>
      <c r="F166" t="s">
        <v>15</v>
      </c>
      <c r="H166">
        <v>276585</v>
      </c>
      <c r="I166">
        <v>129538</v>
      </c>
      <c r="J166" t="s">
        <v>33</v>
      </c>
      <c r="K166" t="s">
        <v>24</v>
      </c>
    </row>
    <row r="167" spans="1:11" x14ac:dyDescent="0.3">
      <c r="A167" t="s">
        <v>456</v>
      </c>
      <c r="B167" t="s">
        <v>457</v>
      </c>
      <c r="C167" t="s">
        <v>458</v>
      </c>
      <c r="D167" t="s">
        <v>14</v>
      </c>
      <c r="E167">
        <v>48</v>
      </c>
      <c r="F167" t="s">
        <v>28</v>
      </c>
      <c r="G167">
        <v>385522</v>
      </c>
      <c r="H167">
        <v>201718</v>
      </c>
      <c r="I167">
        <v>65198</v>
      </c>
      <c r="J167" t="s">
        <v>23</v>
      </c>
      <c r="K167" t="s">
        <v>17</v>
      </c>
    </row>
    <row r="168" spans="1:11" x14ac:dyDescent="0.3">
      <c r="A168" t="s">
        <v>459</v>
      </c>
      <c r="B168" t="s">
        <v>460</v>
      </c>
      <c r="C168" t="s">
        <v>461</v>
      </c>
      <c r="D168" t="s">
        <v>44</v>
      </c>
      <c r="E168">
        <v>46</v>
      </c>
      <c r="G168">
        <v>47320</v>
      </c>
      <c r="H168">
        <v>9</v>
      </c>
      <c r="I168">
        <v>74530</v>
      </c>
      <c r="J168" t="s">
        <v>16</v>
      </c>
      <c r="K168" t="s">
        <v>17</v>
      </c>
    </row>
    <row r="169" spans="1:11" x14ac:dyDescent="0.3">
      <c r="A169" t="s">
        <v>462</v>
      </c>
      <c r="B169" t="s">
        <v>217</v>
      </c>
      <c r="C169" t="s">
        <v>463</v>
      </c>
      <c r="D169" t="s">
        <v>14</v>
      </c>
      <c r="E169">
        <v>52</v>
      </c>
      <c r="F169" t="s">
        <v>37</v>
      </c>
      <c r="G169">
        <v>399377</v>
      </c>
      <c r="H169">
        <v>159636</v>
      </c>
      <c r="I169">
        <v>89547</v>
      </c>
      <c r="J169" t="s">
        <v>33</v>
      </c>
      <c r="K169" t="s">
        <v>24</v>
      </c>
    </row>
    <row r="170" spans="1:11" x14ac:dyDescent="0.3">
      <c r="A170" t="s">
        <v>464</v>
      </c>
      <c r="B170" t="s">
        <v>465</v>
      </c>
      <c r="C170" t="s">
        <v>466</v>
      </c>
      <c r="D170" t="s">
        <v>21</v>
      </c>
      <c r="E170">
        <v>54</v>
      </c>
      <c r="F170" t="s">
        <v>59</v>
      </c>
      <c r="G170">
        <v>73842</v>
      </c>
      <c r="H170">
        <v>99315</v>
      </c>
      <c r="I170">
        <v>20813</v>
      </c>
      <c r="J170" t="s">
        <v>23</v>
      </c>
      <c r="K170" t="s">
        <v>24</v>
      </c>
    </row>
    <row r="171" spans="1:11" x14ac:dyDescent="0.3">
      <c r="A171" t="s">
        <v>467</v>
      </c>
      <c r="B171" t="s">
        <v>294</v>
      </c>
      <c r="C171" t="s">
        <v>62</v>
      </c>
      <c r="D171" t="s">
        <v>48</v>
      </c>
      <c r="E171">
        <v>41</v>
      </c>
      <c r="F171" t="s">
        <v>15</v>
      </c>
      <c r="G171">
        <v>486104</v>
      </c>
      <c r="H171">
        <v>64489</v>
      </c>
      <c r="I171">
        <v>137970</v>
      </c>
      <c r="J171" t="s">
        <v>16</v>
      </c>
      <c r="K171" t="s">
        <v>17</v>
      </c>
    </row>
    <row r="172" spans="1:11" x14ac:dyDescent="0.3">
      <c r="A172" t="s">
        <v>468</v>
      </c>
      <c r="B172" t="s">
        <v>159</v>
      </c>
      <c r="C172" t="s">
        <v>469</v>
      </c>
      <c r="D172" t="s">
        <v>21</v>
      </c>
      <c r="G172">
        <v>17815</v>
      </c>
      <c r="I172">
        <v>59085</v>
      </c>
      <c r="J172" t="s">
        <v>16</v>
      </c>
      <c r="K172" t="s">
        <v>17</v>
      </c>
    </row>
    <row r="173" spans="1:11" x14ac:dyDescent="0.3">
      <c r="A173" t="s">
        <v>470</v>
      </c>
      <c r="B173" t="s">
        <v>124</v>
      </c>
      <c r="C173" t="s">
        <v>471</v>
      </c>
      <c r="D173" t="s">
        <v>58</v>
      </c>
      <c r="E173">
        <v>40</v>
      </c>
      <c r="F173" t="s">
        <v>28</v>
      </c>
      <c r="G173">
        <v>266550</v>
      </c>
      <c r="H173">
        <v>290872</v>
      </c>
      <c r="I173">
        <v>42254</v>
      </c>
      <c r="J173" t="s">
        <v>16</v>
      </c>
      <c r="K173" t="s">
        <v>24</v>
      </c>
    </row>
    <row r="174" spans="1:11" x14ac:dyDescent="0.3">
      <c r="A174" t="s">
        <v>472</v>
      </c>
      <c r="B174" t="s">
        <v>473</v>
      </c>
      <c r="C174" t="s">
        <v>474</v>
      </c>
      <c r="D174" t="s">
        <v>14</v>
      </c>
      <c r="E174">
        <v>55</v>
      </c>
      <c r="F174" t="s">
        <v>32</v>
      </c>
      <c r="G174">
        <v>31173</v>
      </c>
      <c r="H174">
        <v>152109</v>
      </c>
      <c r="I174">
        <v>91439</v>
      </c>
      <c r="J174" t="s">
        <v>33</v>
      </c>
      <c r="K174" t="s">
        <v>24</v>
      </c>
    </row>
    <row r="175" spans="1:11" x14ac:dyDescent="0.3">
      <c r="A175" t="s">
        <v>475</v>
      </c>
      <c r="B175" t="s">
        <v>327</v>
      </c>
      <c r="C175" t="s">
        <v>93</v>
      </c>
      <c r="D175" t="s">
        <v>58</v>
      </c>
      <c r="E175">
        <v>36</v>
      </c>
      <c r="G175">
        <v>435832</v>
      </c>
      <c r="I175">
        <v>61510</v>
      </c>
      <c r="J175" t="s">
        <v>16</v>
      </c>
      <c r="K175" t="s">
        <v>17</v>
      </c>
    </row>
    <row r="176" spans="1:11" x14ac:dyDescent="0.3">
      <c r="A176" t="s">
        <v>476</v>
      </c>
      <c r="B176" t="s">
        <v>317</v>
      </c>
      <c r="C176" t="s">
        <v>477</v>
      </c>
      <c r="D176" t="s">
        <v>48</v>
      </c>
      <c r="E176">
        <v>50</v>
      </c>
      <c r="F176" t="s">
        <v>28</v>
      </c>
      <c r="G176">
        <v>227860</v>
      </c>
      <c r="H176">
        <v>71296</v>
      </c>
      <c r="I176">
        <v>40696</v>
      </c>
      <c r="J176" t="s">
        <v>23</v>
      </c>
      <c r="K176" t="s">
        <v>24</v>
      </c>
    </row>
    <row r="177" spans="1:11" x14ac:dyDescent="0.3">
      <c r="A177" t="s">
        <v>478</v>
      </c>
      <c r="B177" t="s">
        <v>479</v>
      </c>
      <c r="C177" t="s">
        <v>54</v>
      </c>
      <c r="D177" t="s">
        <v>14</v>
      </c>
      <c r="E177">
        <v>54</v>
      </c>
      <c r="F177" t="s">
        <v>15</v>
      </c>
      <c r="G177">
        <v>488221</v>
      </c>
      <c r="H177">
        <v>275631</v>
      </c>
      <c r="I177">
        <v>130107</v>
      </c>
      <c r="J177" t="s">
        <v>16</v>
      </c>
      <c r="K177" t="s">
        <v>24</v>
      </c>
    </row>
    <row r="178" spans="1:11" x14ac:dyDescent="0.3">
      <c r="A178" t="s">
        <v>480</v>
      </c>
      <c r="B178" t="s">
        <v>481</v>
      </c>
      <c r="C178" t="s">
        <v>148</v>
      </c>
      <c r="D178" t="s">
        <v>58</v>
      </c>
      <c r="E178">
        <v>35</v>
      </c>
      <c r="F178" t="s">
        <v>59</v>
      </c>
      <c r="G178">
        <v>200936</v>
      </c>
      <c r="H178">
        <v>56987</v>
      </c>
      <c r="I178">
        <v>55489</v>
      </c>
      <c r="J178" t="s">
        <v>33</v>
      </c>
      <c r="K178" t="s">
        <v>17</v>
      </c>
    </row>
    <row r="179" spans="1:11" x14ac:dyDescent="0.3">
      <c r="A179" t="s">
        <v>482</v>
      </c>
      <c r="B179" t="s">
        <v>245</v>
      </c>
      <c r="C179" t="s">
        <v>483</v>
      </c>
      <c r="D179" t="s">
        <v>14</v>
      </c>
      <c r="E179">
        <v>27</v>
      </c>
      <c r="F179" t="s">
        <v>15</v>
      </c>
      <c r="G179">
        <v>380462</v>
      </c>
      <c r="H179">
        <v>95783</v>
      </c>
      <c r="I179">
        <v>37390</v>
      </c>
      <c r="J179" t="s">
        <v>23</v>
      </c>
      <c r="K179" t="s">
        <v>17</v>
      </c>
    </row>
    <row r="180" spans="1:11" x14ac:dyDescent="0.3">
      <c r="A180" t="s">
        <v>484</v>
      </c>
      <c r="B180" t="s">
        <v>485</v>
      </c>
      <c r="C180" t="s">
        <v>486</v>
      </c>
      <c r="D180" t="s">
        <v>44</v>
      </c>
      <c r="E180">
        <v>30</v>
      </c>
      <c r="F180" t="s">
        <v>37</v>
      </c>
      <c r="G180">
        <v>46055</v>
      </c>
      <c r="I180">
        <v>140682</v>
      </c>
      <c r="J180" t="s">
        <v>23</v>
      </c>
      <c r="K180" t="s">
        <v>17</v>
      </c>
    </row>
    <row r="181" spans="1:11" x14ac:dyDescent="0.3">
      <c r="A181" t="s">
        <v>487</v>
      </c>
      <c r="B181" t="s">
        <v>488</v>
      </c>
      <c r="C181" t="s">
        <v>489</v>
      </c>
      <c r="D181" t="s">
        <v>48</v>
      </c>
      <c r="E181">
        <v>29</v>
      </c>
      <c r="F181" t="s">
        <v>22</v>
      </c>
      <c r="G181">
        <v>238355</v>
      </c>
      <c r="H181">
        <v>260567</v>
      </c>
      <c r="I181">
        <v>80549</v>
      </c>
      <c r="J181" t="s">
        <v>33</v>
      </c>
      <c r="K181" t="s">
        <v>17</v>
      </c>
    </row>
    <row r="182" spans="1:11" x14ac:dyDescent="0.3">
      <c r="A182" t="s">
        <v>490</v>
      </c>
      <c r="B182" t="s">
        <v>375</v>
      </c>
      <c r="C182" t="s">
        <v>491</v>
      </c>
      <c r="D182" t="s">
        <v>14</v>
      </c>
      <c r="E182">
        <v>26</v>
      </c>
      <c r="F182" t="s">
        <v>37</v>
      </c>
      <c r="G182">
        <v>35223</v>
      </c>
      <c r="H182">
        <v>137145</v>
      </c>
      <c r="I182">
        <v>144461</v>
      </c>
      <c r="J182" t="s">
        <v>23</v>
      </c>
      <c r="K182" t="s">
        <v>24</v>
      </c>
    </row>
    <row r="183" spans="1:11" x14ac:dyDescent="0.3">
      <c r="A183" t="s">
        <v>492</v>
      </c>
      <c r="B183" t="s">
        <v>124</v>
      </c>
      <c r="C183" t="s">
        <v>493</v>
      </c>
      <c r="D183" t="s">
        <v>44</v>
      </c>
      <c r="E183">
        <v>54</v>
      </c>
      <c r="F183" t="s">
        <v>90</v>
      </c>
      <c r="G183">
        <v>3138</v>
      </c>
      <c r="H183">
        <v>197325</v>
      </c>
      <c r="I183">
        <v>65932</v>
      </c>
      <c r="J183" t="s">
        <v>16</v>
      </c>
      <c r="K183" t="s">
        <v>17</v>
      </c>
    </row>
    <row r="184" spans="1:11" x14ac:dyDescent="0.3">
      <c r="A184" t="s">
        <v>494</v>
      </c>
      <c r="B184" t="s">
        <v>294</v>
      </c>
      <c r="C184" t="s">
        <v>495</v>
      </c>
      <c r="D184" t="s">
        <v>48</v>
      </c>
      <c r="E184">
        <v>50</v>
      </c>
      <c r="F184" t="s">
        <v>90</v>
      </c>
      <c r="G184">
        <v>426487</v>
      </c>
      <c r="H184">
        <v>176469</v>
      </c>
      <c r="I184">
        <v>121016</v>
      </c>
      <c r="J184" t="s">
        <v>33</v>
      </c>
      <c r="K184" t="s">
        <v>24</v>
      </c>
    </row>
    <row r="185" spans="1:11" x14ac:dyDescent="0.3">
      <c r="A185" t="s">
        <v>496</v>
      </c>
      <c r="B185" t="s">
        <v>232</v>
      </c>
      <c r="C185" t="s">
        <v>258</v>
      </c>
      <c r="D185" t="s">
        <v>44</v>
      </c>
      <c r="E185">
        <v>21</v>
      </c>
      <c r="F185" t="s">
        <v>28</v>
      </c>
      <c r="G185">
        <v>442824</v>
      </c>
      <c r="H185">
        <v>185490</v>
      </c>
      <c r="I185">
        <v>132787</v>
      </c>
      <c r="J185" t="s">
        <v>33</v>
      </c>
      <c r="K185" t="s">
        <v>24</v>
      </c>
    </row>
    <row r="186" spans="1:11" x14ac:dyDescent="0.3">
      <c r="A186" t="s">
        <v>497</v>
      </c>
      <c r="B186" t="s">
        <v>498</v>
      </c>
      <c r="C186" t="s">
        <v>114</v>
      </c>
      <c r="D186" t="s">
        <v>44</v>
      </c>
      <c r="E186">
        <v>39</v>
      </c>
      <c r="F186" t="s">
        <v>32</v>
      </c>
      <c r="G186">
        <v>376223</v>
      </c>
      <c r="H186">
        <v>128406</v>
      </c>
      <c r="I186">
        <v>124081</v>
      </c>
      <c r="J186" t="s">
        <v>33</v>
      </c>
      <c r="K186" t="s">
        <v>24</v>
      </c>
    </row>
    <row r="187" spans="1:11" x14ac:dyDescent="0.3">
      <c r="A187" t="s">
        <v>499</v>
      </c>
      <c r="B187" t="s">
        <v>500</v>
      </c>
      <c r="C187" t="s">
        <v>335</v>
      </c>
      <c r="D187" t="s">
        <v>44</v>
      </c>
      <c r="E187">
        <v>54</v>
      </c>
      <c r="F187" t="s">
        <v>22</v>
      </c>
      <c r="G187">
        <v>373850</v>
      </c>
      <c r="H187">
        <v>163039</v>
      </c>
      <c r="I187">
        <v>121571</v>
      </c>
      <c r="J187" t="s">
        <v>16</v>
      </c>
      <c r="K187" t="s">
        <v>17</v>
      </c>
    </row>
    <row r="188" spans="1:11" x14ac:dyDescent="0.3">
      <c r="A188" t="s">
        <v>501</v>
      </c>
      <c r="B188" t="s">
        <v>412</v>
      </c>
      <c r="C188" t="s">
        <v>162</v>
      </c>
      <c r="D188" t="s">
        <v>21</v>
      </c>
      <c r="E188">
        <v>30</v>
      </c>
      <c r="F188" t="s">
        <v>90</v>
      </c>
      <c r="G188">
        <v>490901</v>
      </c>
      <c r="H188">
        <v>180701</v>
      </c>
      <c r="I188">
        <v>78111</v>
      </c>
      <c r="J188" t="s">
        <v>23</v>
      </c>
      <c r="K188" t="s">
        <v>24</v>
      </c>
    </row>
    <row r="189" spans="1:11" x14ac:dyDescent="0.3">
      <c r="A189" t="s">
        <v>502</v>
      </c>
      <c r="B189" t="s">
        <v>267</v>
      </c>
      <c r="C189" t="s">
        <v>306</v>
      </c>
      <c r="D189" t="s">
        <v>44</v>
      </c>
      <c r="E189">
        <v>25</v>
      </c>
      <c r="F189" t="s">
        <v>22</v>
      </c>
      <c r="G189">
        <v>60576</v>
      </c>
      <c r="H189">
        <v>115473</v>
      </c>
      <c r="I189">
        <v>121304</v>
      </c>
      <c r="J189" t="s">
        <v>33</v>
      </c>
      <c r="K189" t="s">
        <v>24</v>
      </c>
    </row>
    <row r="190" spans="1:11" x14ac:dyDescent="0.3">
      <c r="A190" t="s">
        <v>503</v>
      </c>
      <c r="B190" t="s">
        <v>504</v>
      </c>
      <c r="C190" t="s">
        <v>381</v>
      </c>
      <c r="D190" t="s">
        <v>21</v>
      </c>
      <c r="E190">
        <v>22</v>
      </c>
      <c r="G190">
        <v>393459</v>
      </c>
      <c r="H190">
        <v>58701</v>
      </c>
      <c r="I190">
        <v>116099</v>
      </c>
      <c r="J190" t="s">
        <v>16</v>
      </c>
      <c r="K190" t="s">
        <v>17</v>
      </c>
    </row>
    <row r="191" spans="1:11" x14ac:dyDescent="0.3">
      <c r="A191" t="s">
        <v>505</v>
      </c>
      <c r="B191" t="s">
        <v>506</v>
      </c>
      <c r="C191" t="s">
        <v>507</v>
      </c>
      <c r="D191" t="s">
        <v>48</v>
      </c>
      <c r="E191">
        <v>24</v>
      </c>
      <c r="F191" t="s">
        <v>28</v>
      </c>
      <c r="G191">
        <v>137414</v>
      </c>
      <c r="H191">
        <v>29246</v>
      </c>
      <c r="I191">
        <v>118197</v>
      </c>
      <c r="J191" t="s">
        <v>33</v>
      </c>
      <c r="K191" t="s">
        <v>17</v>
      </c>
    </row>
    <row r="192" spans="1:11" x14ac:dyDescent="0.3">
      <c r="A192" t="s">
        <v>508</v>
      </c>
      <c r="B192" t="s">
        <v>260</v>
      </c>
      <c r="C192" t="s">
        <v>357</v>
      </c>
      <c r="D192" t="s">
        <v>21</v>
      </c>
      <c r="E192">
        <v>57</v>
      </c>
      <c r="F192" t="s">
        <v>22</v>
      </c>
      <c r="H192">
        <v>114677</v>
      </c>
      <c r="I192">
        <v>115143</v>
      </c>
      <c r="J192" t="s">
        <v>33</v>
      </c>
      <c r="K192" t="s">
        <v>24</v>
      </c>
    </row>
    <row r="193" spans="1:11" x14ac:dyDescent="0.3">
      <c r="A193" t="s">
        <v>509</v>
      </c>
      <c r="B193" t="s">
        <v>510</v>
      </c>
      <c r="C193" t="s">
        <v>511</v>
      </c>
      <c r="D193" t="s">
        <v>44</v>
      </c>
      <c r="E193">
        <v>55</v>
      </c>
      <c r="F193" t="s">
        <v>69</v>
      </c>
      <c r="G193">
        <v>357817</v>
      </c>
      <c r="H193">
        <v>143134</v>
      </c>
      <c r="I193">
        <v>105627</v>
      </c>
      <c r="J193" t="s">
        <v>33</v>
      </c>
      <c r="K193" t="s">
        <v>24</v>
      </c>
    </row>
    <row r="194" spans="1:11" x14ac:dyDescent="0.3">
      <c r="A194" t="s">
        <v>512</v>
      </c>
      <c r="B194" t="s">
        <v>383</v>
      </c>
      <c r="C194" t="s">
        <v>335</v>
      </c>
      <c r="D194" t="s">
        <v>21</v>
      </c>
      <c r="E194">
        <v>52</v>
      </c>
      <c r="F194" t="s">
        <v>15</v>
      </c>
      <c r="G194">
        <v>267301</v>
      </c>
      <c r="H194">
        <v>65147</v>
      </c>
      <c r="I194">
        <v>89017</v>
      </c>
      <c r="J194" t="s">
        <v>23</v>
      </c>
      <c r="K194" t="s">
        <v>24</v>
      </c>
    </row>
    <row r="195" spans="1:11" x14ac:dyDescent="0.3">
      <c r="A195" t="s">
        <v>513</v>
      </c>
      <c r="B195" t="s">
        <v>514</v>
      </c>
      <c r="C195" t="s">
        <v>515</v>
      </c>
      <c r="D195" t="s">
        <v>21</v>
      </c>
      <c r="E195">
        <v>38</v>
      </c>
      <c r="F195" t="s">
        <v>69</v>
      </c>
      <c r="G195">
        <v>38570</v>
      </c>
      <c r="H195">
        <v>172496</v>
      </c>
      <c r="I195">
        <v>50085</v>
      </c>
      <c r="J195" t="s">
        <v>16</v>
      </c>
      <c r="K195" t="s">
        <v>17</v>
      </c>
    </row>
    <row r="196" spans="1:11" x14ac:dyDescent="0.3">
      <c r="A196" t="s">
        <v>516</v>
      </c>
      <c r="B196" t="s">
        <v>232</v>
      </c>
      <c r="C196" t="s">
        <v>13</v>
      </c>
      <c r="D196" t="s">
        <v>48</v>
      </c>
      <c r="E196">
        <v>57</v>
      </c>
      <c r="G196">
        <v>142157</v>
      </c>
      <c r="H196">
        <v>294194</v>
      </c>
      <c r="I196">
        <v>143345</v>
      </c>
      <c r="J196" t="s">
        <v>23</v>
      </c>
      <c r="K196" t="s">
        <v>17</v>
      </c>
    </row>
    <row r="197" spans="1:11" x14ac:dyDescent="0.3">
      <c r="A197" t="s">
        <v>517</v>
      </c>
      <c r="B197" t="s">
        <v>518</v>
      </c>
      <c r="C197" t="s">
        <v>519</v>
      </c>
      <c r="D197" t="s">
        <v>48</v>
      </c>
      <c r="E197">
        <v>28</v>
      </c>
      <c r="F197" t="s">
        <v>90</v>
      </c>
      <c r="G197">
        <v>324504</v>
      </c>
      <c r="H197">
        <v>85106</v>
      </c>
      <c r="I197">
        <v>70595</v>
      </c>
      <c r="J197" t="s">
        <v>33</v>
      </c>
      <c r="K197" t="s">
        <v>24</v>
      </c>
    </row>
    <row r="198" spans="1:11" x14ac:dyDescent="0.3">
      <c r="A198" t="s">
        <v>520</v>
      </c>
      <c r="B198" t="s">
        <v>167</v>
      </c>
      <c r="C198" t="s">
        <v>521</v>
      </c>
      <c r="D198" t="s">
        <v>48</v>
      </c>
      <c r="E198">
        <v>25</v>
      </c>
      <c r="F198" t="s">
        <v>22</v>
      </c>
      <c r="G198">
        <v>385218</v>
      </c>
      <c r="H198">
        <v>56024</v>
      </c>
      <c r="I198">
        <v>74402</v>
      </c>
      <c r="J198" t="s">
        <v>16</v>
      </c>
      <c r="K198" t="s">
        <v>17</v>
      </c>
    </row>
    <row r="199" spans="1:11" x14ac:dyDescent="0.3">
      <c r="A199" t="s">
        <v>522</v>
      </c>
      <c r="B199" t="s">
        <v>523</v>
      </c>
      <c r="C199" t="s">
        <v>62</v>
      </c>
      <c r="D199" t="s">
        <v>58</v>
      </c>
      <c r="E199">
        <v>48</v>
      </c>
      <c r="F199" t="s">
        <v>37</v>
      </c>
      <c r="G199">
        <v>273361</v>
      </c>
      <c r="H199">
        <v>84910</v>
      </c>
      <c r="I199">
        <v>106961</v>
      </c>
      <c r="J199" t="s">
        <v>33</v>
      </c>
      <c r="K199" t="s">
        <v>24</v>
      </c>
    </row>
    <row r="200" spans="1:11" x14ac:dyDescent="0.3">
      <c r="A200" t="s">
        <v>524</v>
      </c>
      <c r="B200" t="s">
        <v>525</v>
      </c>
      <c r="C200" t="s">
        <v>27</v>
      </c>
      <c r="D200" t="s">
        <v>14</v>
      </c>
      <c r="E200">
        <v>30</v>
      </c>
      <c r="F200" t="s">
        <v>69</v>
      </c>
      <c r="G200">
        <v>461653</v>
      </c>
      <c r="I200">
        <v>10221</v>
      </c>
      <c r="J200" t="s">
        <v>23</v>
      </c>
      <c r="K200" t="s">
        <v>17</v>
      </c>
    </row>
    <row r="201" spans="1:11" x14ac:dyDescent="0.3">
      <c r="A201" t="s">
        <v>526</v>
      </c>
      <c r="B201" t="s">
        <v>527</v>
      </c>
      <c r="C201" t="s">
        <v>477</v>
      </c>
      <c r="D201" t="s">
        <v>48</v>
      </c>
      <c r="E201">
        <v>33</v>
      </c>
      <c r="F201" t="s">
        <v>15</v>
      </c>
      <c r="G201">
        <v>3706</v>
      </c>
      <c r="H201">
        <v>291665</v>
      </c>
      <c r="I201">
        <v>47241</v>
      </c>
      <c r="J201" t="s">
        <v>33</v>
      </c>
      <c r="K201" t="s">
        <v>24</v>
      </c>
    </row>
    <row r="202" spans="1:11" x14ac:dyDescent="0.3">
      <c r="A202" t="s">
        <v>528</v>
      </c>
      <c r="B202" t="s">
        <v>441</v>
      </c>
      <c r="C202" t="s">
        <v>89</v>
      </c>
      <c r="D202" t="s">
        <v>44</v>
      </c>
      <c r="E202">
        <v>40</v>
      </c>
      <c r="F202" t="s">
        <v>28</v>
      </c>
      <c r="G202">
        <v>160888</v>
      </c>
      <c r="H202">
        <v>201370</v>
      </c>
      <c r="I202">
        <v>131358</v>
      </c>
      <c r="J202" t="s">
        <v>23</v>
      </c>
      <c r="K202" t="s">
        <v>24</v>
      </c>
    </row>
    <row r="203" spans="1:11" x14ac:dyDescent="0.3">
      <c r="A203" t="s">
        <v>529</v>
      </c>
      <c r="B203" t="s">
        <v>121</v>
      </c>
      <c r="C203" t="s">
        <v>530</v>
      </c>
      <c r="D203" t="s">
        <v>48</v>
      </c>
      <c r="E203">
        <v>31</v>
      </c>
      <c r="F203" t="s">
        <v>69</v>
      </c>
      <c r="G203">
        <v>173075</v>
      </c>
      <c r="H203">
        <v>196861</v>
      </c>
      <c r="I203">
        <v>38615</v>
      </c>
      <c r="J203" t="s">
        <v>33</v>
      </c>
      <c r="K203" t="s">
        <v>24</v>
      </c>
    </row>
    <row r="204" spans="1:11" x14ac:dyDescent="0.3">
      <c r="A204" t="s">
        <v>531</v>
      </c>
      <c r="B204" t="s">
        <v>532</v>
      </c>
      <c r="C204" t="s">
        <v>533</v>
      </c>
      <c r="D204" t="s">
        <v>48</v>
      </c>
      <c r="E204">
        <v>24</v>
      </c>
      <c r="F204" t="s">
        <v>59</v>
      </c>
      <c r="G204">
        <v>399985</v>
      </c>
      <c r="H204">
        <v>29972</v>
      </c>
      <c r="I204">
        <v>11539</v>
      </c>
      <c r="J204" t="s">
        <v>16</v>
      </c>
      <c r="K204" t="s">
        <v>24</v>
      </c>
    </row>
    <row r="205" spans="1:11" x14ac:dyDescent="0.3">
      <c r="A205" t="s">
        <v>534</v>
      </c>
      <c r="B205" t="s">
        <v>535</v>
      </c>
      <c r="C205" t="s">
        <v>536</v>
      </c>
      <c r="D205" t="s">
        <v>14</v>
      </c>
      <c r="E205">
        <v>43</v>
      </c>
      <c r="F205" t="s">
        <v>90</v>
      </c>
      <c r="G205">
        <v>369506</v>
      </c>
      <c r="H205">
        <v>181233</v>
      </c>
      <c r="I205">
        <v>104626</v>
      </c>
      <c r="J205" t="s">
        <v>23</v>
      </c>
      <c r="K205" t="s">
        <v>17</v>
      </c>
    </row>
    <row r="206" spans="1:11" x14ac:dyDescent="0.3">
      <c r="A206" t="s">
        <v>537</v>
      </c>
      <c r="B206" t="s">
        <v>538</v>
      </c>
      <c r="C206" t="s">
        <v>539</v>
      </c>
      <c r="D206" t="s">
        <v>21</v>
      </c>
      <c r="E206">
        <v>53</v>
      </c>
      <c r="F206" t="s">
        <v>90</v>
      </c>
      <c r="G206">
        <v>437459</v>
      </c>
      <c r="H206">
        <v>8915</v>
      </c>
      <c r="I206">
        <v>67898</v>
      </c>
      <c r="J206" t="s">
        <v>23</v>
      </c>
      <c r="K206" t="s">
        <v>17</v>
      </c>
    </row>
    <row r="207" spans="1:11" x14ac:dyDescent="0.3">
      <c r="A207" t="s">
        <v>540</v>
      </c>
      <c r="B207" t="s">
        <v>541</v>
      </c>
      <c r="C207" t="s">
        <v>117</v>
      </c>
      <c r="D207" t="s">
        <v>14</v>
      </c>
      <c r="E207">
        <v>36</v>
      </c>
      <c r="F207" t="s">
        <v>59</v>
      </c>
      <c r="G207">
        <v>187536</v>
      </c>
      <c r="H207">
        <v>75679</v>
      </c>
      <c r="I207">
        <v>92037</v>
      </c>
      <c r="J207" t="s">
        <v>16</v>
      </c>
      <c r="K207" t="s">
        <v>17</v>
      </c>
    </row>
    <row r="208" spans="1:11" x14ac:dyDescent="0.3">
      <c r="A208" t="s">
        <v>542</v>
      </c>
      <c r="B208" t="s">
        <v>124</v>
      </c>
      <c r="C208" t="s">
        <v>543</v>
      </c>
      <c r="D208" t="s">
        <v>44</v>
      </c>
      <c r="E208">
        <v>49</v>
      </c>
      <c r="F208" t="s">
        <v>22</v>
      </c>
      <c r="G208">
        <v>279710</v>
      </c>
      <c r="H208">
        <v>116645</v>
      </c>
      <c r="I208">
        <v>77897</v>
      </c>
      <c r="J208" t="s">
        <v>33</v>
      </c>
      <c r="K208" t="s">
        <v>17</v>
      </c>
    </row>
    <row r="209" spans="1:11" x14ac:dyDescent="0.3">
      <c r="A209" t="s">
        <v>544</v>
      </c>
      <c r="B209" t="s">
        <v>375</v>
      </c>
      <c r="C209" t="s">
        <v>545</v>
      </c>
      <c r="D209" t="s">
        <v>58</v>
      </c>
      <c r="E209">
        <v>33</v>
      </c>
      <c r="F209" t="s">
        <v>28</v>
      </c>
      <c r="G209">
        <v>379479</v>
      </c>
      <c r="H209">
        <v>31375</v>
      </c>
      <c r="I209">
        <v>106578</v>
      </c>
      <c r="J209" t="s">
        <v>23</v>
      </c>
      <c r="K209" t="s">
        <v>24</v>
      </c>
    </row>
    <row r="210" spans="1:11" x14ac:dyDescent="0.3">
      <c r="A210" t="s">
        <v>546</v>
      </c>
      <c r="B210" t="s">
        <v>547</v>
      </c>
      <c r="C210" t="s">
        <v>62</v>
      </c>
      <c r="D210" t="s">
        <v>21</v>
      </c>
      <c r="E210">
        <v>58</v>
      </c>
      <c r="F210" t="s">
        <v>32</v>
      </c>
      <c r="G210">
        <v>441773</v>
      </c>
      <c r="H210">
        <v>259703</v>
      </c>
      <c r="I210">
        <v>39597</v>
      </c>
      <c r="J210" t="s">
        <v>23</v>
      </c>
      <c r="K210" t="s">
        <v>24</v>
      </c>
    </row>
    <row r="211" spans="1:11" x14ac:dyDescent="0.3">
      <c r="A211" t="s">
        <v>548</v>
      </c>
      <c r="B211" t="s">
        <v>549</v>
      </c>
      <c r="C211" t="s">
        <v>550</v>
      </c>
      <c r="D211" t="s">
        <v>44</v>
      </c>
      <c r="E211">
        <v>41</v>
      </c>
      <c r="F211" t="s">
        <v>28</v>
      </c>
      <c r="G211">
        <v>27728</v>
      </c>
      <c r="H211">
        <v>96516</v>
      </c>
      <c r="I211">
        <v>16978</v>
      </c>
      <c r="J211" t="s">
        <v>33</v>
      </c>
      <c r="K211" t="s">
        <v>17</v>
      </c>
    </row>
    <row r="212" spans="1:11" x14ac:dyDescent="0.3">
      <c r="A212" t="s">
        <v>551</v>
      </c>
      <c r="B212" t="s">
        <v>552</v>
      </c>
      <c r="C212" t="s">
        <v>338</v>
      </c>
      <c r="D212" t="s">
        <v>21</v>
      </c>
      <c r="E212">
        <v>21</v>
      </c>
      <c r="F212" t="s">
        <v>90</v>
      </c>
      <c r="G212">
        <v>374804</v>
      </c>
      <c r="H212">
        <v>131689</v>
      </c>
      <c r="I212">
        <v>45773</v>
      </c>
      <c r="J212" t="s">
        <v>33</v>
      </c>
      <c r="K212" t="s">
        <v>24</v>
      </c>
    </row>
    <row r="213" spans="1:11" x14ac:dyDescent="0.3">
      <c r="A213" t="s">
        <v>553</v>
      </c>
      <c r="B213" t="s">
        <v>206</v>
      </c>
      <c r="C213" t="s">
        <v>554</v>
      </c>
      <c r="D213" t="s">
        <v>48</v>
      </c>
      <c r="E213">
        <v>32</v>
      </c>
      <c r="F213" t="s">
        <v>28</v>
      </c>
      <c r="G213">
        <v>53731</v>
      </c>
      <c r="H213">
        <v>50989</v>
      </c>
      <c r="I213">
        <v>123390</v>
      </c>
      <c r="J213" t="s">
        <v>16</v>
      </c>
      <c r="K213" t="s">
        <v>24</v>
      </c>
    </row>
    <row r="214" spans="1:11" x14ac:dyDescent="0.3">
      <c r="A214" t="s">
        <v>555</v>
      </c>
      <c r="B214" t="s">
        <v>156</v>
      </c>
      <c r="C214" t="s">
        <v>556</v>
      </c>
      <c r="D214" t="s">
        <v>44</v>
      </c>
      <c r="E214">
        <v>40</v>
      </c>
      <c r="F214" t="s">
        <v>69</v>
      </c>
      <c r="H214">
        <v>117495</v>
      </c>
      <c r="I214">
        <v>97688</v>
      </c>
      <c r="J214" t="s">
        <v>33</v>
      </c>
      <c r="K214" t="s">
        <v>24</v>
      </c>
    </row>
    <row r="215" spans="1:11" x14ac:dyDescent="0.3">
      <c r="A215" t="s">
        <v>557</v>
      </c>
      <c r="B215" t="s">
        <v>380</v>
      </c>
      <c r="C215" t="s">
        <v>558</v>
      </c>
      <c r="D215" t="s">
        <v>58</v>
      </c>
      <c r="F215" t="s">
        <v>28</v>
      </c>
      <c r="G215">
        <v>467647</v>
      </c>
      <c r="I215">
        <v>90662</v>
      </c>
      <c r="J215" t="s">
        <v>23</v>
      </c>
      <c r="K215" t="s">
        <v>24</v>
      </c>
    </row>
    <row r="216" spans="1:11" x14ac:dyDescent="0.3">
      <c r="A216" t="s">
        <v>559</v>
      </c>
      <c r="B216" t="s">
        <v>525</v>
      </c>
      <c r="C216" t="s">
        <v>62</v>
      </c>
      <c r="D216" t="s">
        <v>44</v>
      </c>
      <c r="E216">
        <v>51</v>
      </c>
      <c r="H216">
        <v>158368</v>
      </c>
      <c r="I216">
        <v>123724</v>
      </c>
      <c r="J216" t="s">
        <v>33</v>
      </c>
      <c r="K216" t="s">
        <v>17</v>
      </c>
    </row>
    <row r="217" spans="1:11" x14ac:dyDescent="0.3">
      <c r="A217" t="s">
        <v>560</v>
      </c>
      <c r="B217" t="s">
        <v>561</v>
      </c>
      <c r="C217" t="s">
        <v>562</v>
      </c>
      <c r="D217" t="s">
        <v>21</v>
      </c>
      <c r="F217" t="s">
        <v>28</v>
      </c>
      <c r="G217">
        <v>333141</v>
      </c>
      <c r="H217">
        <v>103652</v>
      </c>
      <c r="I217">
        <v>108797</v>
      </c>
      <c r="J217" t="s">
        <v>16</v>
      </c>
      <c r="K217" t="s">
        <v>17</v>
      </c>
    </row>
    <row r="218" spans="1:11" x14ac:dyDescent="0.3">
      <c r="A218" t="s">
        <v>563</v>
      </c>
      <c r="B218" t="s">
        <v>564</v>
      </c>
      <c r="C218" t="s">
        <v>105</v>
      </c>
      <c r="D218" t="s">
        <v>14</v>
      </c>
      <c r="E218">
        <v>40</v>
      </c>
      <c r="F218" t="s">
        <v>22</v>
      </c>
      <c r="G218">
        <v>198536</v>
      </c>
      <c r="H218">
        <v>117919</v>
      </c>
      <c r="I218">
        <v>146338</v>
      </c>
      <c r="J218" t="s">
        <v>33</v>
      </c>
      <c r="K218" t="s">
        <v>17</v>
      </c>
    </row>
    <row r="219" spans="1:11" x14ac:dyDescent="0.3">
      <c r="A219" t="s">
        <v>565</v>
      </c>
      <c r="B219" t="s">
        <v>294</v>
      </c>
      <c r="C219" t="s">
        <v>566</v>
      </c>
      <c r="D219" t="s">
        <v>48</v>
      </c>
      <c r="E219">
        <v>29</v>
      </c>
      <c r="F219" t="s">
        <v>69</v>
      </c>
      <c r="G219">
        <v>162643</v>
      </c>
      <c r="H219">
        <v>232547</v>
      </c>
      <c r="I219">
        <v>134424</v>
      </c>
      <c r="J219" t="s">
        <v>33</v>
      </c>
      <c r="K219" t="s">
        <v>24</v>
      </c>
    </row>
    <row r="220" spans="1:11" x14ac:dyDescent="0.3">
      <c r="A220" t="s">
        <v>567</v>
      </c>
      <c r="B220" t="s">
        <v>568</v>
      </c>
      <c r="C220" t="s">
        <v>569</v>
      </c>
      <c r="D220" t="s">
        <v>21</v>
      </c>
      <c r="E220">
        <v>57</v>
      </c>
      <c r="G220">
        <v>355603</v>
      </c>
      <c r="H220">
        <v>262024</v>
      </c>
      <c r="I220">
        <v>53274</v>
      </c>
      <c r="J220" t="s">
        <v>23</v>
      </c>
      <c r="K220" t="s">
        <v>17</v>
      </c>
    </row>
    <row r="221" spans="1:11" x14ac:dyDescent="0.3">
      <c r="A221" t="s">
        <v>570</v>
      </c>
      <c r="B221" t="s">
        <v>571</v>
      </c>
      <c r="C221" t="s">
        <v>157</v>
      </c>
      <c r="D221" t="s">
        <v>14</v>
      </c>
      <c r="E221">
        <v>27</v>
      </c>
      <c r="F221" t="s">
        <v>37</v>
      </c>
      <c r="G221">
        <v>246510</v>
      </c>
      <c r="H221">
        <v>252281</v>
      </c>
      <c r="I221">
        <v>77699</v>
      </c>
      <c r="J221" t="s">
        <v>23</v>
      </c>
      <c r="K221" t="s">
        <v>24</v>
      </c>
    </row>
    <row r="222" spans="1:11" x14ac:dyDescent="0.3">
      <c r="A222" t="s">
        <v>572</v>
      </c>
      <c r="B222" t="s">
        <v>573</v>
      </c>
      <c r="C222" t="s">
        <v>574</v>
      </c>
      <c r="D222" t="s">
        <v>44</v>
      </c>
      <c r="E222">
        <v>25</v>
      </c>
      <c r="F222" t="s">
        <v>32</v>
      </c>
      <c r="G222">
        <v>92489</v>
      </c>
      <c r="H222">
        <v>68057</v>
      </c>
      <c r="I222">
        <v>83366</v>
      </c>
      <c r="J222" t="s">
        <v>16</v>
      </c>
      <c r="K222" t="s">
        <v>17</v>
      </c>
    </row>
    <row r="223" spans="1:11" x14ac:dyDescent="0.3">
      <c r="A223" t="s">
        <v>575</v>
      </c>
      <c r="B223" t="s">
        <v>209</v>
      </c>
      <c r="C223" t="s">
        <v>576</v>
      </c>
      <c r="D223" t="s">
        <v>58</v>
      </c>
      <c r="E223">
        <v>40</v>
      </c>
      <c r="F223" t="s">
        <v>28</v>
      </c>
      <c r="G223">
        <v>449914</v>
      </c>
      <c r="H223">
        <v>181459</v>
      </c>
      <c r="I223">
        <v>97438</v>
      </c>
      <c r="J223" t="s">
        <v>33</v>
      </c>
      <c r="K223" t="s">
        <v>17</v>
      </c>
    </row>
    <row r="224" spans="1:11" x14ac:dyDescent="0.3">
      <c r="A224" t="s">
        <v>577</v>
      </c>
      <c r="B224" t="s">
        <v>455</v>
      </c>
      <c r="C224" t="s">
        <v>578</v>
      </c>
      <c r="D224" t="s">
        <v>21</v>
      </c>
      <c r="E224">
        <v>29</v>
      </c>
      <c r="G224">
        <v>100430</v>
      </c>
      <c r="H224">
        <v>229577</v>
      </c>
      <c r="I224">
        <v>85300</v>
      </c>
      <c r="J224" t="s">
        <v>16</v>
      </c>
      <c r="K224" t="s">
        <v>17</v>
      </c>
    </row>
    <row r="225" spans="1:11" x14ac:dyDescent="0.3">
      <c r="A225" t="s">
        <v>579</v>
      </c>
      <c r="B225" t="s">
        <v>580</v>
      </c>
      <c r="C225" t="s">
        <v>491</v>
      </c>
      <c r="D225" t="s">
        <v>21</v>
      </c>
      <c r="E225">
        <v>28</v>
      </c>
      <c r="G225">
        <v>145754</v>
      </c>
      <c r="H225">
        <v>10382</v>
      </c>
      <c r="I225">
        <v>99604</v>
      </c>
      <c r="J225" t="s">
        <v>16</v>
      </c>
      <c r="K225" t="s">
        <v>17</v>
      </c>
    </row>
    <row r="226" spans="1:11" x14ac:dyDescent="0.3">
      <c r="A226" t="s">
        <v>581</v>
      </c>
      <c r="B226" t="s">
        <v>582</v>
      </c>
      <c r="C226" t="s">
        <v>583</v>
      </c>
      <c r="D226" t="s">
        <v>48</v>
      </c>
      <c r="E226">
        <v>28</v>
      </c>
      <c r="F226" t="s">
        <v>15</v>
      </c>
      <c r="G226">
        <v>490192</v>
      </c>
      <c r="H226">
        <v>260016</v>
      </c>
      <c r="I226">
        <v>35474</v>
      </c>
      <c r="J226" t="s">
        <v>23</v>
      </c>
      <c r="K226" t="s">
        <v>24</v>
      </c>
    </row>
    <row r="227" spans="1:11" x14ac:dyDescent="0.3">
      <c r="A227" t="s">
        <v>584</v>
      </c>
      <c r="B227" t="s">
        <v>121</v>
      </c>
      <c r="C227" t="s">
        <v>585</v>
      </c>
      <c r="D227" t="s">
        <v>44</v>
      </c>
      <c r="E227">
        <v>38</v>
      </c>
      <c r="F227" t="s">
        <v>22</v>
      </c>
      <c r="G227">
        <v>455177</v>
      </c>
      <c r="H227">
        <v>43604</v>
      </c>
      <c r="I227">
        <v>110288</v>
      </c>
      <c r="J227" t="s">
        <v>23</v>
      </c>
      <c r="K227" t="s">
        <v>24</v>
      </c>
    </row>
    <row r="228" spans="1:11" x14ac:dyDescent="0.3">
      <c r="A228" t="s">
        <v>586</v>
      </c>
      <c r="B228" t="s">
        <v>317</v>
      </c>
      <c r="C228" t="s">
        <v>238</v>
      </c>
      <c r="D228" t="s">
        <v>58</v>
      </c>
      <c r="E228">
        <v>35</v>
      </c>
      <c r="F228" t="s">
        <v>69</v>
      </c>
      <c r="G228">
        <v>8503</v>
      </c>
      <c r="H228">
        <v>141166</v>
      </c>
      <c r="I228">
        <v>147723</v>
      </c>
      <c r="J228" t="s">
        <v>16</v>
      </c>
      <c r="K228" t="s">
        <v>24</v>
      </c>
    </row>
    <row r="229" spans="1:11" x14ac:dyDescent="0.3">
      <c r="A229" t="s">
        <v>587</v>
      </c>
      <c r="B229" t="s">
        <v>485</v>
      </c>
      <c r="C229" t="s">
        <v>588</v>
      </c>
      <c r="D229" t="s">
        <v>58</v>
      </c>
      <c r="E229">
        <v>44</v>
      </c>
      <c r="F229" t="s">
        <v>22</v>
      </c>
      <c r="G229">
        <v>66769</v>
      </c>
      <c r="H229">
        <v>90077</v>
      </c>
      <c r="I229">
        <v>30896</v>
      </c>
      <c r="J229" t="s">
        <v>16</v>
      </c>
      <c r="K229" t="s">
        <v>24</v>
      </c>
    </row>
    <row r="230" spans="1:11" x14ac:dyDescent="0.3">
      <c r="A230" t="s">
        <v>589</v>
      </c>
      <c r="B230" t="s">
        <v>590</v>
      </c>
      <c r="C230" t="s">
        <v>591</v>
      </c>
      <c r="D230" t="s">
        <v>58</v>
      </c>
      <c r="E230">
        <v>33</v>
      </c>
      <c r="F230" t="s">
        <v>32</v>
      </c>
      <c r="G230">
        <v>14098</v>
      </c>
      <c r="H230">
        <v>261495</v>
      </c>
      <c r="I230">
        <v>92688</v>
      </c>
      <c r="J230" t="s">
        <v>33</v>
      </c>
      <c r="K230" t="s">
        <v>24</v>
      </c>
    </row>
    <row r="231" spans="1:11" x14ac:dyDescent="0.3">
      <c r="A231" t="s">
        <v>592</v>
      </c>
      <c r="B231" t="s">
        <v>260</v>
      </c>
      <c r="C231" t="s">
        <v>177</v>
      </c>
      <c r="D231" t="s">
        <v>14</v>
      </c>
      <c r="E231">
        <v>46</v>
      </c>
      <c r="G231">
        <v>32423</v>
      </c>
      <c r="H231">
        <v>92123</v>
      </c>
      <c r="I231">
        <v>91434</v>
      </c>
      <c r="J231" t="s">
        <v>33</v>
      </c>
      <c r="K231" t="s">
        <v>17</v>
      </c>
    </row>
    <row r="232" spans="1:11" x14ac:dyDescent="0.3">
      <c r="A232" t="s">
        <v>593</v>
      </c>
      <c r="B232" t="s">
        <v>386</v>
      </c>
      <c r="C232" t="s">
        <v>594</v>
      </c>
      <c r="D232" t="s">
        <v>48</v>
      </c>
      <c r="E232">
        <v>43</v>
      </c>
      <c r="F232" t="s">
        <v>22</v>
      </c>
      <c r="G232">
        <v>495740</v>
      </c>
      <c r="H232">
        <v>260742</v>
      </c>
      <c r="I232">
        <v>65183</v>
      </c>
      <c r="J232" t="s">
        <v>23</v>
      </c>
      <c r="K232" t="s">
        <v>17</v>
      </c>
    </row>
    <row r="233" spans="1:11" x14ac:dyDescent="0.3">
      <c r="A233" t="s">
        <v>595</v>
      </c>
      <c r="B233" t="s">
        <v>46</v>
      </c>
      <c r="C233" t="s">
        <v>258</v>
      </c>
      <c r="D233" t="s">
        <v>48</v>
      </c>
      <c r="E233">
        <v>46</v>
      </c>
      <c r="F233" t="s">
        <v>69</v>
      </c>
      <c r="G233">
        <v>142692</v>
      </c>
      <c r="H233">
        <v>89969</v>
      </c>
      <c r="I233">
        <v>58843</v>
      </c>
      <c r="J233" t="s">
        <v>16</v>
      </c>
      <c r="K233" t="s">
        <v>17</v>
      </c>
    </row>
    <row r="234" spans="1:11" x14ac:dyDescent="0.3">
      <c r="A234" t="s">
        <v>596</v>
      </c>
      <c r="B234" t="s">
        <v>597</v>
      </c>
      <c r="C234" t="s">
        <v>365</v>
      </c>
      <c r="D234" t="s">
        <v>58</v>
      </c>
      <c r="E234">
        <v>47</v>
      </c>
      <c r="F234" t="s">
        <v>59</v>
      </c>
      <c r="G234">
        <v>39811</v>
      </c>
      <c r="H234">
        <v>54376</v>
      </c>
      <c r="I234">
        <v>132362</v>
      </c>
      <c r="J234" t="s">
        <v>16</v>
      </c>
      <c r="K234" t="s">
        <v>17</v>
      </c>
    </row>
    <row r="235" spans="1:11" x14ac:dyDescent="0.3">
      <c r="A235" t="s">
        <v>598</v>
      </c>
      <c r="B235" t="s">
        <v>599</v>
      </c>
      <c r="C235" t="s">
        <v>105</v>
      </c>
      <c r="D235" t="s">
        <v>58</v>
      </c>
      <c r="E235">
        <v>41</v>
      </c>
      <c r="F235" t="s">
        <v>90</v>
      </c>
      <c r="G235">
        <v>325458</v>
      </c>
      <c r="I235">
        <v>24131</v>
      </c>
      <c r="J235" t="s">
        <v>33</v>
      </c>
      <c r="K235" t="s">
        <v>17</v>
      </c>
    </row>
    <row r="236" spans="1:11" x14ac:dyDescent="0.3">
      <c r="A236" t="s">
        <v>600</v>
      </c>
      <c r="B236" t="s">
        <v>601</v>
      </c>
      <c r="C236" t="s">
        <v>447</v>
      </c>
      <c r="D236" t="s">
        <v>21</v>
      </c>
      <c r="E236">
        <v>55</v>
      </c>
      <c r="F236" t="s">
        <v>22</v>
      </c>
      <c r="G236">
        <v>498884</v>
      </c>
      <c r="H236">
        <v>157849</v>
      </c>
      <c r="I236">
        <v>24981</v>
      </c>
      <c r="J236" t="s">
        <v>23</v>
      </c>
      <c r="K236" t="s">
        <v>24</v>
      </c>
    </row>
    <row r="237" spans="1:11" x14ac:dyDescent="0.3">
      <c r="A237" t="s">
        <v>602</v>
      </c>
      <c r="B237" t="s">
        <v>375</v>
      </c>
      <c r="C237" t="s">
        <v>603</v>
      </c>
      <c r="D237" t="s">
        <v>44</v>
      </c>
      <c r="E237">
        <v>28</v>
      </c>
      <c r="F237" t="s">
        <v>37</v>
      </c>
      <c r="G237">
        <v>367522</v>
      </c>
      <c r="H237">
        <v>13770</v>
      </c>
      <c r="I237">
        <v>18397</v>
      </c>
      <c r="J237" t="s">
        <v>16</v>
      </c>
      <c r="K237" t="s">
        <v>24</v>
      </c>
    </row>
    <row r="238" spans="1:11" x14ac:dyDescent="0.3">
      <c r="A238" t="s">
        <v>604</v>
      </c>
      <c r="B238" t="s">
        <v>232</v>
      </c>
      <c r="C238" t="s">
        <v>13</v>
      </c>
      <c r="D238" t="s">
        <v>44</v>
      </c>
      <c r="E238">
        <v>30</v>
      </c>
      <c r="F238" t="s">
        <v>22</v>
      </c>
      <c r="G238">
        <v>74573</v>
      </c>
      <c r="H238">
        <v>181531</v>
      </c>
      <c r="I238">
        <v>101609</v>
      </c>
      <c r="J238" t="s">
        <v>23</v>
      </c>
      <c r="K238" t="s">
        <v>17</v>
      </c>
    </row>
    <row r="239" spans="1:11" x14ac:dyDescent="0.3">
      <c r="A239" t="s">
        <v>605</v>
      </c>
      <c r="B239" t="s">
        <v>606</v>
      </c>
      <c r="C239" t="s">
        <v>607</v>
      </c>
      <c r="D239" t="s">
        <v>48</v>
      </c>
      <c r="E239">
        <v>58</v>
      </c>
      <c r="G239">
        <v>316401</v>
      </c>
      <c r="H239">
        <v>126564</v>
      </c>
      <c r="I239">
        <v>46627</v>
      </c>
      <c r="J239" t="s">
        <v>33</v>
      </c>
      <c r="K239" t="s">
        <v>24</v>
      </c>
    </row>
    <row r="240" spans="1:11" x14ac:dyDescent="0.3">
      <c r="A240" t="s">
        <v>608</v>
      </c>
      <c r="B240" t="s">
        <v>46</v>
      </c>
      <c r="C240" t="s">
        <v>233</v>
      </c>
      <c r="D240" t="s">
        <v>21</v>
      </c>
      <c r="E240">
        <v>22</v>
      </c>
      <c r="F240" t="s">
        <v>90</v>
      </c>
      <c r="H240">
        <v>125610</v>
      </c>
      <c r="I240">
        <v>144558</v>
      </c>
      <c r="J240" t="s">
        <v>23</v>
      </c>
      <c r="K240" t="s">
        <v>17</v>
      </c>
    </row>
    <row r="241" spans="1:11" x14ac:dyDescent="0.3">
      <c r="A241" t="s">
        <v>609</v>
      </c>
      <c r="B241" t="s">
        <v>610</v>
      </c>
      <c r="C241" t="s">
        <v>611</v>
      </c>
      <c r="D241" t="s">
        <v>48</v>
      </c>
      <c r="E241">
        <v>44</v>
      </c>
      <c r="F241" t="s">
        <v>90</v>
      </c>
      <c r="G241">
        <v>392968</v>
      </c>
      <c r="H241">
        <v>98440</v>
      </c>
      <c r="I241">
        <v>104452</v>
      </c>
      <c r="J241" t="s">
        <v>16</v>
      </c>
      <c r="K241" t="s">
        <v>24</v>
      </c>
    </row>
    <row r="242" spans="1:11" x14ac:dyDescent="0.3">
      <c r="A242" t="s">
        <v>612</v>
      </c>
      <c r="B242" t="s">
        <v>613</v>
      </c>
      <c r="C242" t="s">
        <v>256</v>
      </c>
      <c r="D242" t="s">
        <v>21</v>
      </c>
      <c r="E242">
        <v>25</v>
      </c>
      <c r="F242" t="s">
        <v>59</v>
      </c>
      <c r="G242">
        <v>141019</v>
      </c>
      <c r="H242">
        <v>237860</v>
      </c>
      <c r="I242">
        <v>76026</v>
      </c>
      <c r="J242" t="s">
        <v>16</v>
      </c>
      <c r="K242" t="s">
        <v>24</v>
      </c>
    </row>
    <row r="243" spans="1:11" x14ac:dyDescent="0.3">
      <c r="A243" t="s">
        <v>614</v>
      </c>
      <c r="B243" t="s">
        <v>615</v>
      </c>
      <c r="C243" t="s">
        <v>616</v>
      </c>
      <c r="D243" t="s">
        <v>58</v>
      </c>
      <c r="E243">
        <v>41</v>
      </c>
      <c r="G243">
        <v>26355</v>
      </c>
      <c r="H243">
        <v>288262</v>
      </c>
      <c r="I243">
        <v>140545</v>
      </c>
      <c r="J243" t="s">
        <v>16</v>
      </c>
      <c r="K243" t="s">
        <v>24</v>
      </c>
    </row>
    <row r="244" spans="1:11" x14ac:dyDescent="0.3">
      <c r="A244" t="s">
        <v>617</v>
      </c>
      <c r="B244" t="s">
        <v>618</v>
      </c>
      <c r="C244" t="s">
        <v>619</v>
      </c>
      <c r="D244" t="s">
        <v>44</v>
      </c>
      <c r="E244">
        <v>39</v>
      </c>
      <c r="F244" t="s">
        <v>37</v>
      </c>
      <c r="G244">
        <v>33060</v>
      </c>
      <c r="H244">
        <v>13304</v>
      </c>
      <c r="I244">
        <v>68599</v>
      </c>
      <c r="J244" t="s">
        <v>23</v>
      </c>
      <c r="K244" t="s">
        <v>17</v>
      </c>
    </row>
    <row r="245" spans="1:11" x14ac:dyDescent="0.3">
      <c r="A245" t="s">
        <v>620</v>
      </c>
      <c r="B245" t="s">
        <v>121</v>
      </c>
      <c r="C245" t="s">
        <v>174</v>
      </c>
      <c r="D245" t="s">
        <v>44</v>
      </c>
      <c r="E245">
        <v>29</v>
      </c>
      <c r="F245" t="s">
        <v>22</v>
      </c>
      <c r="G245">
        <v>225132</v>
      </c>
      <c r="I245">
        <v>138186</v>
      </c>
      <c r="J245" t="s">
        <v>33</v>
      </c>
      <c r="K245" t="s">
        <v>17</v>
      </c>
    </row>
    <row r="246" spans="1:11" x14ac:dyDescent="0.3">
      <c r="A246" t="s">
        <v>621</v>
      </c>
      <c r="B246" t="s">
        <v>408</v>
      </c>
      <c r="C246" t="s">
        <v>622</v>
      </c>
      <c r="D246" t="s">
        <v>48</v>
      </c>
      <c r="E246">
        <v>32</v>
      </c>
      <c r="F246" t="s">
        <v>28</v>
      </c>
      <c r="G246">
        <v>378162</v>
      </c>
      <c r="H246">
        <v>29771</v>
      </c>
      <c r="I246">
        <v>90666</v>
      </c>
      <c r="J246" t="s">
        <v>23</v>
      </c>
      <c r="K246" t="s">
        <v>17</v>
      </c>
    </row>
    <row r="247" spans="1:11" x14ac:dyDescent="0.3">
      <c r="A247" t="s">
        <v>623</v>
      </c>
      <c r="B247" t="s">
        <v>219</v>
      </c>
      <c r="C247" t="s">
        <v>624</v>
      </c>
      <c r="D247" t="s">
        <v>14</v>
      </c>
      <c r="E247">
        <v>51</v>
      </c>
      <c r="F247" t="s">
        <v>59</v>
      </c>
      <c r="G247">
        <v>445852</v>
      </c>
      <c r="H247">
        <v>174166</v>
      </c>
      <c r="I247">
        <v>40816</v>
      </c>
      <c r="J247" t="s">
        <v>33</v>
      </c>
      <c r="K247" t="s">
        <v>24</v>
      </c>
    </row>
    <row r="248" spans="1:11" x14ac:dyDescent="0.3">
      <c r="A248" t="s">
        <v>625</v>
      </c>
      <c r="B248" t="s">
        <v>626</v>
      </c>
      <c r="C248" t="s">
        <v>627</v>
      </c>
      <c r="D248" t="s">
        <v>58</v>
      </c>
      <c r="E248">
        <v>28</v>
      </c>
      <c r="F248" t="s">
        <v>28</v>
      </c>
      <c r="G248">
        <v>374533</v>
      </c>
      <c r="H248">
        <v>202684</v>
      </c>
      <c r="I248">
        <v>58850</v>
      </c>
      <c r="J248" t="s">
        <v>23</v>
      </c>
      <c r="K248" t="s">
        <v>24</v>
      </c>
    </row>
    <row r="249" spans="1:11" x14ac:dyDescent="0.3">
      <c r="A249" t="s">
        <v>628</v>
      </c>
      <c r="B249" t="s">
        <v>61</v>
      </c>
      <c r="C249" t="s">
        <v>629</v>
      </c>
      <c r="D249" t="s">
        <v>48</v>
      </c>
      <c r="E249">
        <v>25</v>
      </c>
      <c r="F249" t="s">
        <v>22</v>
      </c>
      <c r="H249">
        <v>229631</v>
      </c>
      <c r="I249">
        <v>10023</v>
      </c>
      <c r="J249" t="s">
        <v>16</v>
      </c>
      <c r="K249" t="s">
        <v>17</v>
      </c>
    </row>
    <row r="250" spans="1:11" x14ac:dyDescent="0.3">
      <c r="A250" t="s">
        <v>630</v>
      </c>
      <c r="B250" t="s">
        <v>302</v>
      </c>
      <c r="C250" t="s">
        <v>631</v>
      </c>
      <c r="D250" t="s">
        <v>58</v>
      </c>
      <c r="F250" t="s">
        <v>37</v>
      </c>
      <c r="G250">
        <v>64757</v>
      </c>
      <c r="H250">
        <v>137797</v>
      </c>
      <c r="I250">
        <v>81626</v>
      </c>
      <c r="J250" t="s">
        <v>23</v>
      </c>
      <c r="K250" t="s">
        <v>24</v>
      </c>
    </row>
    <row r="251" spans="1:11" x14ac:dyDescent="0.3">
      <c r="A251" t="s">
        <v>632</v>
      </c>
      <c r="B251" t="s">
        <v>64</v>
      </c>
      <c r="C251" t="s">
        <v>633</v>
      </c>
      <c r="D251" t="s">
        <v>14</v>
      </c>
      <c r="E251">
        <v>46</v>
      </c>
      <c r="F251" t="s">
        <v>15</v>
      </c>
      <c r="G251">
        <v>200473</v>
      </c>
      <c r="H251">
        <v>198367</v>
      </c>
      <c r="I251">
        <v>18240</v>
      </c>
      <c r="J251" t="s">
        <v>23</v>
      </c>
      <c r="K251" t="s">
        <v>17</v>
      </c>
    </row>
    <row r="252" spans="1:11" x14ac:dyDescent="0.3">
      <c r="A252" t="s">
        <v>634</v>
      </c>
      <c r="B252" t="s">
        <v>53</v>
      </c>
      <c r="C252" t="s">
        <v>192</v>
      </c>
      <c r="D252" t="s">
        <v>21</v>
      </c>
      <c r="E252">
        <v>29</v>
      </c>
      <c r="F252" t="s">
        <v>32</v>
      </c>
      <c r="G252">
        <v>133874</v>
      </c>
      <c r="H252">
        <v>230994</v>
      </c>
      <c r="I252">
        <v>60374</v>
      </c>
      <c r="J252" t="s">
        <v>23</v>
      </c>
      <c r="K252" t="s">
        <v>17</v>
      </c>
    </row>
    <row r="253" spans="1:11" x14ac:dyDescent="0.3">
      <c r="A253" t="s">
        <v>635</v>
      </c>
      <c r="B253" t="s">
        <v>390</v>
      </c>
      <c r="C253" t="s">
        <v>636</v>
      </c>
      <c r="D253" t="s">
        <v>48</v>
      </c>
      <c r="E253">
        <v>32</v>
      </c>
      <c r="F253" t="s">
        <v>69</v>
      </c>
      <c r="G253">
        <v>120800</v>
      </c>
      <c r="H253">
        <v>193983</v>
      </c>
      <c r="I253">
        <v>72555</v>
      </c>
      <c r="J253" t="s">
        <v>33</v>
      </c>
      <c r="K253" t="s">
        <v>24</v>
      </c>
    </row>
    <row r="254" spans="1:11" x14ac:dyDescent="0.3">
      <c r="A254" t="s">
        <v>637</v>
      </c>
      <c r="B254" t="s">
        <v>638</v>
      </c>
      <c r="C254" t="s">
        <v>93</v>
      </c>
      <c r="D254" t="s">
        <v>44</v>
      </c>
      <c r="E254">
        <v>21</v>
      </c>
      <c r="F254" t="s">
        <v>37</v>
      </c>
      <c r="G254">
        <v>24494</v>
      </c>
      <c r="I254">
        <v>10107</v>
      </c>
      <c r="J254" t="s">
        <v>23</v>
      </c>
      <c r="K254" t="s">
        <v>17</v>
      </c>
    </row>
    <row r="255" spans="1:11" x14ac:dyDescent="0.3">
      <c r="A255" t="s">
        <v>639</v>
      </c>
      <c r="B255" t="s">
        <v>640</v>
      </c>
      <c r="C255" t="s">
        <v>641</v>
      </c>
      <c r="D255" t="s">
        <v>14</v>
      </c>
      <c r="E255">
        <v>43</v>
      </c>
      <c r="F255" t="s">
        <v>90</v>
      </c>
      <c r="G255">
        <v>60001</v>
      </c>
      <c r="H255">
        <v>242413</v>
      </c>
      <c r="I255">
        <v>12218</v>
      </c>
      <c r="J255" t="s">
        <v>33</v>
      </c>
      <c r="K255" t="s">
        <v>17</v>
      </c>
    </row>
    <row r="256" spans="1:11" x14ac:dyDescent="0.3">
      <c r="A256" t="s">
        <v>642</v>
      </c>
      <c r="B256" t="s">
        <v>643</v>
      </c>
      <c r="C256" t="s">
        <v>174</v>
      </c>
      <c r="D256" t="s">
        <v>14</v>
      </c>
      <c r="E256">
        <v>44</v>
      </c>
      <c r="F256" t="s">
        <v>15</v>
      </c>
      <c r="G256">
        <v>3592</v>
      </c>
      <c r="H256">
        <v>100851</v>
      </c>
      <c r="I256">
        <v>62228</v>
      </c>
      <c r="J256" t="s">
        <v>16</v>
      </c>
      <c r="K256" t="s">
        <v>24</v>
      </c>
    </row>
    <row r="257" spans="1:11" x14ac:dyDescent="0.3">
      <c r="A257" t="s">
        <v>644</v>
      </c>
      <c r="B257" t="s">
        <v>645</v>
      </c>
      <c r="C257" t="s">
        <v>393</v>
      </c>
      <c r="D257" t="s">
        <v>21</v>
      </c>
      <c r="E257">
        <v>33</v>
      </c>
      <c r="F257" t="s">
        <v>90</v>
      </c>
      <c r="G257">
        <v>181826</v>
      </c>
      <c r="H257">
        <v>165665</v>
      </c>
      <c r="I257">
        <v>88736</v>
      </c>
      <c r="J257" t="s">
        <v>23</v>
      </c>
      <c r="K257" t="s">
        <v>17</v>
      </c>
    </row>
    <row r="258" spans="1:11" x14ac:dyDescent="0.3">
      <c r="A258" t="s">
        <v>646</v>
      </c>
      <c r="B258" t="s">
        <v>217</v>
      </c>
      <c r="C258" t="s">
        <v>647</v>
      </c>
      <c r="D258" t="s">
        <v>44</v>
      </c>
      <c r="E258">
        <v>54</v>
      </c>
      <c r="F258" t="s">
        <v>22</v>
      </c>
      <c r="G258">
        <v>394037</v>
      </c>
      <c r="H258">
        <v>3311</v>
      </c>
      <c r="I258">
        <v>135619</v>
      </c>
      <c r="J258" t="s">
        <v>23</v>
      </c>
      <c r="K258" t="s">
        <v>24</v>
      </c>
    </row>
    <row r="259" spans="1:11" x14ac:dyDescent="0.3">
      <c r="A259" t="s">
        <v>648</v>
      </c>
      <c r="B259" t="s">
        <v>649</v>
      </c>
      <c r="C259" t="s">
        <v>105</v>
      </c>
      <c r="D259" t="s">
        <v>58</v>
      </c>
      <c r="E259">
        <v>21</v>
      </c>
      <c r="F259" t="s">
        <v>90</v>
      </c>
      <c r="G259">
        <v>408755</v>
      </c>
      <c r="H259">
        <v>188114</v>
      </c>
      <c r="I259">
        <v>137618</v>
      </c>
      <c r="J259" t="s">
        <v>23</v>
      </c>
      <c r="K259" t="s">
        <v>24</v>
      </c>
    </row>
    <row r="260" spans="1:11" x14ac:dyDescent="0.3">
      <c r="A260" t="s">
        <v>650</v>
      </c>
      <c r="B260" t="s">
        <v>651</v>
      </c>
      <c r="C260" t="s">
        <v>469</v>
      </c>
      <c r="D260" t="s">
        <v>14</v>
      </c>
      <c r="E260">
        <v>31</v>
      </c>
      <c r="F260" t="s">
        <v>32</v>
      </c>
      <c r="G260">
        <v>108050</v>
      </c>
      <c r="I260">
        <v>93221</v>
      </c>
      <c r="J260" t="s">
        <v>16</v>
      </c>
      <c r="K260" t="s">
        <v>24</v>
      </c>
    </row>
    <row r="261" spans="1:11" x14ac:dyDescent="0.3">
      <c r="A261" t="s">
        <v>652</v>
      </c>
      <c r="B261" t="s">
        <v>135</v>
      </c>
      <c r="C261" t="s">
        <v>653</v>
      </c>
      <c r="D261" t="s">
        <v>58</v>
      </c>
      <c r="E261">
        <v>39</v>
      </c>
      <c r="F261" t="s">
        <v>15</v>
      </c>
      <c r="G261">
        <v>100244</v>
      </c>
      <c r="I261">
        <v>134279</v>
      </c>
      <c r="J261" t="s">
        <v>23</v>
      </c>
      <c r="K261" t="s">
        <v>17</v>
      </c>
    </row>
    <row r="262" spans="1:11" x14ac:dyDescent="0.3">
      <c r="A262" t="s">
        <v>654</v>
      </c>
      <c r="B262" t="s">
        <v>655</v>
      </c>
      <c r="C262" t="s">
        <v>210</v>
      </c>
      <c r="D262" t="s">
        <v>14</v>
      </c>
      <c r="E262">
        <v>29</v>
      </c>
      <c r="F262" t="s">
        <v>28</v>
      </c>
      <c r="G262">
        <v>61657</v>
      </c>
      <c r="H262">
        <v>221835</v>
      </c>
      <c r="I262">
        <v>117826</v>
      </c>
      <c r="J262" t="s">
        <v>23</v>
      </c>
      <c r="K262" t="s">
        <v>17</v>
      </c>
    </row>
    <row r="263" spans="1:11" x14ac:dyDescent="0.3">
      <c r="A263" t="s">
        <v>656</v>
      </c>
      <c r="B263" t="s">
        <v>289</v>
      </c>
      <c r="C263" t="s">
        <v>447</v>
      </c>
      <c r="D263" t="s">
        <v>44</v>
      </c>
      <c r="E263">
        <v>57</v>
      </c>
      <c r="F263" t="s">
        <v>32</v>
      </c>
      <c r="G263">
        <v>409796</v>
      </c>
      <c r="H263">
        <v>183156</v>
      </c>
      <c r="I263">
        <v>139715</v>
      </c>
      <c r="J263" t="s">
        <v>16</v>
      </c>
      <c r="K263" t="s">
        <v>17</v>
      </c>
    </row>
    <row r="264" spans="1:11" x14ac:dyDescent="0.3">
      <c r="A264" t="s">
        <v>657</v>
      </c>
      <c r="B264" t="s">
        <v>658</v>
      </c>
      <c r="C264" t="s">
        <v>659</v>
      </c>
      <c r="D264" t="s">
        <v>48</v>
      </c>
      <c r="E264">
        <v>54</v>
      </c>
      <c r="F264" t="s">
        <v>28</v>
      </c>
      <c r="G264">
        <v>301288</v>
      </c>
      <c r="H264">
        <v>246304</v>
      </c>
      <c r="I264">
        <v>87492</v>
      </c>
      <c r="J264" t="s">
        <v>16</v>
      </c>
      <c r="K264" t="s">
        <v>17</v>
      </c>
    </row>
    <row r="265" spans="1:11" x14ac:dyDescent="0.3">
      <c r="A265" t="s">
        <v>660</v>
      </c>
      <c r="B265" t="s">
        <v>601</v>
      </c>
      <c r="C265" t="s">
        <v>661</v>
      </c>
      <c r="D265" t="s">
        <v>44</v>
      </c>
      <c r="E265">
        <v>45</v>
      </c>
      <c r="F265" t="s">
        <v>90</v>
      </c>
      <c r="G265">
        <v>415236</v>
      </c>
      <c r="H265">
        <v>217909</v>
      </c>
      <c r="I265">
        <v>58843</v>
      </c>
      <c r="J265" t="s">
        <v>16</v>
      </c>
      <c r="K265" t="s">
        <v>17</v>
      </c>
    </row>
    <row r="266" spans="1:11" x14ac:dyDescent="0.3">
      <c r="A266" t="s">
        <v>662</v>
      </c>
      <c r="B266" t="s">
        <v>317</v>
      </c>
      <c r="C266" t="s">
        <v>663</v>
      </c>
      <c r="D266" t="s">
        <v>21</v>
      </c>
      <c r="E266">
        <v>28</v>
      </c>
      <c r="F266" t="s">
        <v>28</v>
      </c>
      <c r="G266">
        <v>145056</v>
      </c>
      <c r="H266">
        <v>138211</v>
      </c>
      <c r="I266">
        <v>105442</v>
      </c>
      <c r="J266" t="s">
        <v>16</v>
      </c>
      <c r="K266" t="s">
        <v>24</v>
      </c>
    </row>
    <row r="267" spans="1:11" x14ac:dyDescent="0.3">
      <c r="A267" t="s">
        <v>664</v>
      </c>
      <c r="B267" t="s">
        <v>267</v>
      </c>
      <c r="C267" t="s">
        <v>665</v>
      </c>
      <c r="D267" t="s">
        <v>58</v>
      </c>
      <c r="E267">
        <v>38</v>
      </c>
      <c r="F267" t="s">
        <v>32</v>
      </c>
      <c r="G267">
        <v>138652</v>
      </c>
      <c r="H267">
        <v>40718</v>
      </c>
      <c r="I267">
        <v>148569</v>
      </c>
      <c r="J267" t="s">
        <v>23</v>
      </c>
      <c r="K267" t="s">
        <v>17</v>
      </c>
    </row>
    <row r="268" spans="1:11" x14ac:dyDescent="0.3">
      <c r="A268" t="s">
        <v>666</v>
      </c>
      <c r="B268" t="s">
        <v>645</v>
      </c>
      <c r="C268" t="s">
        <v>667</v>
      </c>
      <c r="D268" t="s">
        <v>14</v>
      </c>
      <c r="E268">
        <v>59</v>
      </c>
      <c r="F268" t="s">
        <v>15</v>
      </c>
      <c r="G268">
        <v>317699</v>
      </c>
      <c r="H268">
        <v>142775</v>
      </c>
      <c r="I268">
        <v>14876</v>
      </c>
      <c r="J268" t="s">
        <v>33</v>
      </c>
      <c r="K268" t="s">
        <v>24</v>
      </c>
    </row>
    <row r="269" spans="1:11" x14ac:dyDescent="0.3">
      <c r="A269" t="s">
        <v>668</v>
      </c>
      <c r="B269" t="s">
        <v>669</v>
      </c>
      <c r="C269" t="s">
        <v>35</v>
      </c>
      <c r="D269" t="s">
        <v>14</v>
      </c>
      <c r="E269">
        <v>50</v>
      </c>
      <c r="G269">
        <v>439957</v>
      </c>
      <c r="H269">
        <v>142534</v>
      </c>
      <c r="I269">
        <v>97398</v>
      </c>
      <c r="J269" t="s">
        <v>33</v>
      </c>
      <c r="K269" t="s">
        <v>24</v>
      </c>
    </row>
    <row r="270" spans="1:11" x14ac:dyDescent="0.3">
      <c r="A270" t="s">
        <v>670</v>
      </c>
      <c r="B270" t="s">
        <v>504</v>
      </c>
      <c r="C270" t="s">
        <v>585</v>
      </c>
      <c r="D270" t="s">
        <v>14</v>
      </c>
      <c r="E270">
        <v>37</v>
      </c>
      <c r="F270" t="s">
        <v>37</v>
      </c>
      <c r="G270">
        <v>413130</v>
      </c>
      <c r="H270">
        <v>264306</v>
      </c>
      <c r="I270">
        <v>39586</v>
      </c>
      <c r="J270" t="s">
        <v>23</v>
      </c>
      <c r="K270" t="s">
        <v>17</v>
      </c>
    </row>
    <row r="271" spans="1:11" x14ac:dyDescent="0.3">
      <c r="A271" t="s">
        <v>671</v>
      </c>
      <c r="B271" t="s">
        <v>194</v>
      </c>
      <c r="C271" t="s">
        <v>672</v>
      </c>
      <c r="D271" t="s">
        <v>44</v>
      </c>
      <c r="F271" t="s">
        <v>37</v>
      </c>
      <c r="G271">
        <v>351783</v>
      </c>
      <c r="H271">
        <v>9680</v>
      </c>
      <c r="I271">
        <v>140390</v>
      </c>
      <c r="J271" t="s">
        <v>23</v>
      </c>
      <c r="K271" t="s">
        <v>24</v>
      </c>
    </row>
    <row r="272" spans="1:11" x14ac:dyDescent="0.3">
      <c r="A272" t="s">
        <v>673</v>
      </c>
      <c r="B272" t="s">
        <v>674</v>
      </c>
      <c r="C272" t="s">
        <v>256</v>
      </c>
      <c r="D272" t="s">
        <v>21</v>
      </c>
      <c r="E272">
        <v>43</v>
      </c>
      <c r="F272" t="s">
        <v>59</v>
      </c>
      <c r="G272">
        <v>102373</v>
      </c>
      <c r="I272">
        <v>149188</v>
      </c>
      <c r="J272" t="s">
        <v>23</v>
      </c>
      <c r="K272" t="s">
        <v>24</v>
      </c>
    </row>
    <row r="273" spans="1:11" x14ac:dyDescent="0.3">
      <c r="A273" t="s">
        <v>675</v>
      </c>
      <c r="B273" t="s">
        <v>599</v>
      </c>
      <c r="C273" t="s">
        <v>174</v>
      </c>
      <c r="D273" t="s">
        <v>21</v>
      </c>
      <c r="E273">
        <v>23</v>
      </c>
      <c r="G273">
        <v>287024</v>
      </c>
      <c r="H273">
        <v>126404</v>
      </c>
      <c r="I273">
        <v>89780</v>
      </c>
      <c r="J273" t="s">
        <v>16</v>
      </c>
      <c r="K273" t="s">
        <v>17</v>
      </c>
    </row>
    <row r="274" spans="1:11" x14ac:dyDescent="0.3">
      <c r="A274" t="s">
        <v>676</v>
      </c>
      <c r="B274" t="s">
        <v>498</v>
      </c>
      <c r="C274" t="s">
        <v>603</v>
      </c>
      <c r="D274" t="s">
        <v>44</v>
      </c>
      <c r="E274">
        <v>22</v>
      </c>
      <c r="F274" t="s">
        <v>32</v>
      </c>
      <c r="G274">
        <v>172316</v>
      </c>
      <c r="H274">
        <v>44055</v>
      </c>
      <c r="I274">
        <v>42063</v>
      </c>
      <c r="J274" t="s">
        <v>16</v>
      </c>
      <c r="K274" t="s">
        <v>24</v>
      </c>
    </row>
    <row r="275" spans="1:11" x14ac:dyDescent="0.3">
      <c r="A275" t="s">
        <v>677</v>
      </c>
      <c r="B275" t="s">
        <v>126</v>
      </c>
      <c r="C275" t="s">
        <v>213</v>
      </c>
      <c r="D275" t="s">
        <v>48</v>
      </c>
      <c r="E275">
        <v>56</v>
      </c>
      <c r="F275" t="s">
        <v>69</v>
      </c>
      <c r="G275">
        <v>438601</v>
      </c>
      <c r="H275">
        <v>150939</v>
      </c>
      <c r="I275">
        <v>21949</v>
      </c>
      <c r="J275" t="s">
        <v>16</v>
      </c>
      <c r="K275" t="s">
        <v>17</v>
      </c>
    </row>
    <row r="276" spans="1:11" x14ac:dyDescent="0.3">
      <c r="A276" t="s">
        <v>678</v>
      </c>
      <c r="B276" t="s">
        <v>679</v>
      </c>
      <c r="C276" t="s">
        <v>430</v>
      </c>
      <c r="D276" t="s">
        <v>14</v>
      </c>
      <c r="E276">
        <v>55</v>
      </c>
      <c r="F276" t="s">
        <v>90</v>
      </c>
      <c r="G276">
        <v>324788</v>
      </c>
      <c r="I276">
        <v>93677</v>
      </c>
      <c r="J276" t="s">
        <v>23</v>
      </c>
      <c r="K276" t="s">
        <v>17</v>
      </c>
    </row>
    <row r="277" spans="1:11" x14ac:dyDescent="0.3">
      <c r="A277" t="s">
        <v>680</v>
      </c>
      <c r="B277" t="s">
        <v>681</v>
      </c>
      <c r="C277" t="s">
        <v>682</v>
      </c>
      <c r="D277" t="s">
        <v>58</v>
      </c>
      <c r="E277">
        <v>29</v>
      </c>
      <c r="F277" t="s">
        <v>37</v>
      </c>
      <c r="G277">
        <v>175719</v>
      </c>
      <c r="I277">
        <v>60758</v>
      </c>
      <c r="J277" t="s">
        <v>23</v>
      </c>
      <c r="K277" t="s">
        <v>24</v>
      </c>
    </row>
    <row r="278" spans="1:11" x14ac:dyDescent="0.3">
      <c r="A278" t="s">
        <v>683</v>
      </c>
      <c r="B278" t="s">
        <v>684</v>
      </c>
      <c r="C278" t="s">
        <v>685</v>
      </c>
      <c r="D278" t="s">
        <v>21</v>
      </c>
      <c r="E278">
        <v>36</v>
      </c>
      <c r="F278" t="s">
        <v>69</v>
      </c>
      <c r="G278">
        <v>309930</v>
      </c>
      <c r="H278">
        <v>7258</v>
      </c>
      <c r="I278">
        <v>63114</v>
      </c>
      <c r="J278" t="s">
        <v>23</v>
      </c>
      <c r="K278" t="s">
        <v>24</v>
      </c>
    </row>
    <row r="279" spans="1:11" x14ac:dyDescent="0.3">
      <c r="A279" t="s">
        <v>686</v>
      </c>
      <c r="B279" t="s">
        <v>687</v>
      </c>
      <c r="C279" t="s">
        <v>380</v>
      </c>
      <c r="D279" t="s">
        <v>44</v>
      </c>
      <c r="E279">
        <v>25</v>
      </c>
      <c r="F279" t="s">
        <v>69</v>
      </c>
      <c r="G279">
        <v>147276</v>
      </c>
      <c r="H279">
        <v>236753</v>
      </c>
      <c r="I279">
        <v>73692</v>
      </c>
      <c r="J279" t="s">
        <v>16</v>
      </c>
      <c r="K279" t="s">
        <v>17</v>
      </c>
    </row>
    <row r="280" spans="1:11" x14ac:dyDescent="0.3">
      <c r="A280" t="s">
        <v>688</v>
      </c>
      <c r="B280" t="s">
        <v>689</v>
      </c>
      <c r="C280" t="s">
        <v>690</v>
      </c>
      <c r="D280" t="s">
        <v>58</v>
      </c>
      <c r="E280">
        <v>24</v>
      </c>
      <c r="F280" t="s">
        <v>15</v>
      </c>
      <c r="G280">
        <v>240261</v>
      </c>
      <c r="I280">
        <v>116997</v>
      </c>
      <c r="J280" t="s">
        <v>23</v>
      </c>
      <c r="K280" t="s">
        <v>24</v>
      </c>
    </row>
    <row r="281" spans="1:11" x14ac:dyDescent="0.3">
      <c r="A281" t="s">
        <v>691</v>
      </c>
      <c r="B281" t="s">
        <v>156</v>
      </c>
      <c r="C281" t="s">
        <v>256</v>
      </c>
      <c r="D281" t="s">
        <v>14</v>
      </c>
      <c r="E281">
        <v>46</v>
      </c>
      <c r="F281" t="s">
        <v>32</v>
      </c>
      <c r="H281">
        <v>120478</v>
      </c>
      <c r="I281">
        <v>69931</v>
      </c>
      <c r="J281" t="s">
        <v>23</v>
      </c>
      <c r="K281" t="s">
        <v>24</v>
      </c>
    </row>
    <row r="282" spans="1:11" x14ac:dyDescent="0.3">
      <c r="A282" t="s">
        <v>692</v>
      </c>
      <c r="B282" t="s">
        <v>71</v>
      </c>
      <c r="C282" t="s">
        <v>89</v>
      </c>
      <c r="D282" t="s">
        <v>14</v>
      </c>
      <c r="E282">
        <v>49</v>
      </c>
      <c r="F282" t="s">
        <v>69</v>
      </c>
      <c r="G282">
        <v>375152</v>
      </c>
      <c r="H282">
        <v>52031</v>
      </c>
      <c r="I282">
        <v>37560</v>
      </c>
      <c r="J282" t="s">
        <v>23</v>
      </c>
      <c r="K282" t="s">
        <v>24</v>
      </c>
    </row>
    <row r="283" spans="1:11" x14ac:dyDescent="0.3">
      <c r="A283" t="s">
        <v>693</v>
      </c>
      <c r="B283" t="s">
        <v>525</v>
      </c>
      <c r="C283" t="s">
        <v>550</v>
      </c>
      <c r="D283" t="s">
        <v>44</v>
      </c>
      <c r="E283">
        <v>33</v>
      </c>
      <c r="F283" t="s">
        <v>32</v>
      </c>
      <c r="G283">
        <v>151168</v>
      </c>
      <c r="I283">
        <v>44654</v>
      </c>
      <c r="J283" t="s">
        <v>33</v>
      </c>
      <c r="K283" t="s">
        <v>24</v>
      </c>
    </row>
    <row r="284" spans="1:11" x14ac:dyDescent="0.3">
      <c r="A284" t="s">
        <v>694</v>
      </c>
      <c r="B284" t="s">
        <v>460</v>
      </c>
      <c r="C284" t="s">
        <v>174</v>
      </c>
      <c r="D284" t="s">
        <v>21</v>
      </c>
      <c r="E284">
        <v>53</v>
      </c>
      <c r="F284" t="s">
        <v>15</v>
      </c>
      <c r="G284">
        <v>217784</v>
      </c>
      <c r="I284">
        <v>42272</v>
      </c>
      <c r="J284" t="s">
        <v>16</v>
      </c>
      <c r="K284" t="s">
        <v>24</v>
      </c>
    </row>
    <row r="285" spans="1:11" x14ac:dyDescent="0.3">
      <c r="A285" t="s">
        <v>695</v>
      </c>
      <c r="B285" t="s">
        <v>696</v>
      </c>
      <c r="C285" t="s">
        <v>98</v>
      </c>
      <c r="D285" t="s">
        <v>44</v>
      </c>
      <c r="E285">
        <v>56</v>
      </c>
      <c r="F285" t="s">
        <v>28</v>
      </c>
      <c r="H285">
        <v>75127</v>
      </c>
      <c r="I285">
        <v>22604</v>
      </c>
      <c r="J285" t="s">
        <v>16</v>
      </c>
      <c r="K285" t="s">
        <v>24</v>
      </c>
    </row>
    <row r="286" spans="1:11" x14ac:dyDescent="0.3">
      <c r="A286" t="s">
        <v>697</v>
      </c>
      <c r="B286" t="s">
        <v>35</v>
      </c>
      <c r="C286" t="s">
        <v>698</v>
      </c>
      <c r="D286" t="s">
        <v>21</v>
      </c>
      <c r="E286">
        <v>57</v>
      </c>
      <c r="F286" t="s">
        <v>59</v>
      </c>
      <c r="G286">
        <v>185466</v>
      </c>
      <c r="I286">
        <v>11672</v>
      </c>
      <c r="J286" t="s">
        <v>23</v>
      </c>
      <c r="K286" t="s">
        <v>17</v>
      </c>
    </row>
    <row r="287" spans="1:11" x14ac:dyDescent="0.3">
      <c r="A287" t="s">
        <v>699</v>
      </c>
      <c r="B287" t="s">
        <v>564</v>
      </c>
      <c r="C287" t="s">
        <v>700</v>
      </c>
      <c r="D287" t="s">
        <v>14</v>
      </c>
      <c r="E287">
        <v>57</v>
      </c>
      <c r="F287" t="s">
        <v>59</v>
      </c>
      <c r="G287">
        <v>248370</v>
      </c>
      <c r="I287">
        <v>85731</v>
      </c>
      <c r="J287" t="s">
        <v>16</v>
      </c>
      <c r="K287" t="s">
        <v>24</v>
      </c>
    </row>
    <row r="288" spans="1:11" x14ac:dyDescent="0.3">
      <c r="A288" t="s">
        <v>701</v>
      </c>
      <c r="B288" t="s">
        <v>224</v>
      </c>
      <c r="C288" t="s">
        <v>315</v>
      </c>
      <c r="D288" t="s">
        <v>21</v>
      </c>
      <c r="E288">
        <v>28</v>
      </c>
      <c r="F288" t="s">
        <v>15</v>
      </c>
      <c r="H288">
        <v>13072</v>
      </c>
      <c r="I288">
        <v>85152</v>
      </c>
      <c r="J288" t="s">
        <v>33</v>
      </c>
      <c r="K288" t="s">
        <v>17</v>
      </c>
    </row>
    <row r="289" spans="1:11" x14ac:dyDescent="0.3">
      <c r="A289" t="s">
        <v>702</v>
      </c>
      <c r="B289" t="s">
        <v>674</v>
      </c>
      <c r="C289" t="s">
        <v>703</v>
      </c>
      <c r="D289" t="s">
        <v>58</v>
      </c>
      <c r="E289">
        <v>24</v>
      </c>
      <c r="F289" t="s">
        <v>37</v>
      </c>
      <c r="G289">
        <v>312844</v>
      </c>
      <c r="H289">
        <v>199971</v>
      </c>
      <c r="I289">
        <v>118458</v>
      </c>
      <c r="J289" t="s">
        <v>33</v>
      </c>
      <c r="K289" t="s">
        <v>17</v>
      </c>
    </row>
    <row r="290" spans="1:11" x14ac:dyDescent="0.3">
      <c r="A290" t="s">
        <v>704</v>
      </c>
      <c r="B290" t="s">
        <v>232</v>
      </c>
      <c r="C290" t="s">
        <v>705</v>
      </c>
      <c r="D290" t="s">
        <v>48</v>
      </c>
      <c r="E290">
        <v>49</v>
      </c>
      <c r="F290" t="s">
        <v>59</v>
      </c>
      <c r="G290">
        <v>376953</v>
      </c>
      <c r="H290">
        <v>94341</v>
      </c>
      <c r="I290">
        <v>17170</v>
      </c>
      <c r="J290" t="s">
        <v>16</v>
      </c>
      <c r="K290" t="s">
        <v>24</v>
      </c>
    </row>
    <row r="291" spans="1:11" x14ac:dyDescent="0.3">
      <c r="A291" t="s">
        <v>706</v>
      </c>
      <c r="B291" t="s">
        <v>707</v>
      </c>
      <c r="C291" t="s">
        <v>287</v>
      </c>
      <c r="D291" t="s">
        <v>48</v>
      </c>
      <c r="E291">
        <v>47</v>
      </c>
      <c r="F291" t="s">
        <v>22</v>
      </c>
      <c r="G291">
        <v>453324</v>
      </c>
      <c r="H291">
        <v>230328</v>
      </c>
      <c r="I291">
        <v>142772</v>
      </c>
      <c r="J291" t="s">
        <v>23</v>
      </c>
      <c r="K291" t="s">
        <v>24</v>
      </c>
    </row>
    <row r="292" spans="1:11" x14ac:dyDescent="0.3">
      <c r="A292" t="s">
        <v>708</v>
      </c>
      <c r="B292" t="s">
        <v>369</v>
      </c>
      <c r="C292" t="s">
        <v>709</v>
      </c>
      <c r="D292" t="s">
        <v>44</v>
      </c>
      <c r="E292">
        <v>56</v>
      </c>
      <c r="F292" t="s">
        <v>15</v>
      </c>
      <c r="G292">
        <v>305353</v>
      </c>
      <c r="H292">
        <v>44907</v>
      </c>
      <c r="I292">
        <v>66591</v>
      </c>
      <c r="J292" t="s">
        <v>16</v>
      </c>
      <c r="K292" t="s">
        <v>17</v>
      </c>
    </row>
    <row r="293" spans="1:11" x14ac:dyDescent="0.3">
      <c r="A293" t="s">
        <v>710</v>
      </c>
      <c r="B293" t="s">
        <v>369</v>
      </c>
      <c r="C293" t="s">
        <v>148</v>
      </c>
      <c r="D293" t="s">
        <v>48</v>
      </c>
      <c r="E293">
        <v>25</v>
      </c>
      <c r="G293">
        <v>36302</v>
      </c>
      <c r="H293">
        <v>118953</v>
      </c>
      <c r="I293">
        <v>23718</v>
      </c>
      <c r="J293" t="s">
        <v>23</v>
      </c>
      <c r="K293" t="s">
        <v>17</v>
      </c>
    </row>
    <row r="294" spans="1:11" x14ac:dyDescent="0.3">
      <c r="A294" t="s">
        <v>711</v>
      </c>
      <c r="B294" t="s">
        <v>260</v>
      </c>
      <c r="C294" t="s">
        <v>365</v>
      </c>
      <c r="D294" t="s">
        <v>21</v>
      </c>
      <c r="E294">
        <v>25</v>
      </c>
      <c r="F294" t="s">
        <v>32</v>
      </c>
      <c r="G294">
        <v>490291</v>
      </c>
      <c r="H294">
        <v>199503</v>
      </c>
      <c r="I294">
        <v>93843</v>
      </c>
      <c r="J294" t="s">
        <v>16</v>
      </c>
      <c r="K294" t="s">
        <v>24</v>
      </c>
    </row>
    <row r="295" spans="1:11" x14ac:dyDescent="0.3">
      <c r="A295" t="s">
        <v>712</v>
      </c>
      <c r="B295" t="s">
        <v>713</v>
      </c>
      <c r="C295" t="s">
        <v>714</v>
      </c>
      <c r="D295" t="s">
        <v>14</v>
      </c>
      <c r="E295">
        <v>21</v>
      </c>
      <c r="F295" t="s">
        <v>69</v>
      </c>
      <c r="G295">
        <v>458301</v>
      </c>
      <c r="H295">
        <v>3017</v>
      </c>
      <c r="I295">
        <v>69782</v>
      </c>
      <c r="J295" t="s">
        <v>16</v>
      </c>
      <c r="K295" t="s">
        <v>17</v>
      </c>
    </row>
    <row r="296" spans="1:11" x14ac:dyDescent="0.3">
      <c r="A296" t="s">
        <v>715</v>
      </c>
      <c r="B296" t="s">
        <v>449</v>
      </c>
      <c r="C296" t="s">
        <v>716</v>
      </c>
      <c r="D296" t="s">
        <v>58</v>
      </c>
      <c r="E296">
        <v>31</v>
      </c>
      <c r="F296" t="s">
        <v>15</v>
      </c>
      <c r="G296">
        <v>165946</v>
      </c>
      <c r="H296">
        <v>246730</v>
      </c>
      <c r="I296">
        <v>87788</v>
      </c>
      <c r="J296" t="s">
        <v>23</v>
      </c>
      <c r="K296" t="s">
        <v>17</v>
      </c>
    </row>
    <row r="297" spans="1:11" x14ac:dyDescent="0.3">
      <c r="A297" t="s">
        <v>717</v>
      </c>
      <c r="B297" t="s">
        <v>46</v>
      </c>
      <c r="C297" t="s">
        <v>102</v>
      </c>
      <c r="D297" t="s">
        <v>21</v>
      </c>
      <c r="E297">
        <v>31</v>
      </c>
      <c r="F297" t="s">
        <v>22</v>
      </c>
      <c r="G297">
        <v>222749</v>
      </c>
      <c r="H297">
        <v>52686</v>
      </c>
      <c r="I297">
        <v>132427</v>
      </c>
      <c r="J297" t="s">
        <v>16</v>
      </c>
      <c r="K297" t="s">
        <v>24</v>
      </c>
    </row>
    <row r="298" spans="1:11" x14ac:dyDescent="0.3">
      <c r="A298" t="s">
        <v>718</v>
      </c>
      <c r="B298" t="s">
        <v>719</v>
      </c>
      <c r="C298" t="s">
        <v>714</v>
      </c>
      <c r="D298" t="s">
        <v>21</v>
      </c>
      <c r="E298">
        <v>49</v>
      </c>
      <c r="F298" t="s">
        <v>28</v>
      </c>
      <c r="G298">
        <v>345725</v>
      </c>
      <c r="H298">
        <v>112694</v>
      </c>
      <c r="I298">
        <v>28135</v>
      </c>
      <c r="J298" t="s">
        <v>33</v>
      </c>
      <c r="K298" t="s">
        <v>24</v>
      </c>
    </row>
    <row r="299" spans="1:11" x14ac:dyDescent="0.3">
      <c r="A299" t="s">
        <v>720</v>
      </c>
      <c r="B299" t="s">
        <v>113</v>
      </c>
      <c r="C299" t="s">
        <v>105</v>
      </c>
      <c r="D299" t="s">
        <v>58</v>
      </c>
      <c r="E299">
        <v>48</v>
      </c>
      <c r="F299" t="s">
        <v>15</v>
      </c>
      <c r="H299">
        <v>263971</v>
      </c>
      <c r="I299">
        <v>28575</v>
      </c>
      <c r="J299" t="s">
        <v>33</v>
      </c>
      <c r="K299" t="s">
        <v>17</v>
      </c>
    </row>
    <row r="300" spans="1:11" x14ac:dyDescent="0.3">
      <c r="A300" t="s">
        <v>721</v>
      </c>
      <c r="B300" t="s">
        <v>135</v>
      </c>
      <c r="C300" t="s">
        <v>722</v>
      </c>
      <c r="D300" t="s">
        <v>14</v>
      </c>
      <c r="E300">
        <v>46</v>
      </c>
      <c r="F300" t="s">
        <v>59</v>
      </c>
      <c r="G300">
        <v>183901</v>
      </c>
      <c r="H300">
        <v>177542</v>
      </c>
      <c r="I300">
        <v>95568</v>
      </c>
      <c r="J300" t="s">
        <v>23</v>
      </c>
      <c r="K300" t="s">
        <v>24</v>
      </c>
    </row>
    <row r="301" spans="1:11" x14ac:dyDescent="0.3">
      <c r="A301" t="s">
        <v>723</v>
      </c>
      <c r="B301" t="s">
        <v>724</v>
      </c>
      <c r="C301" t="s">
        <v>725</v>
      </c>
      <c r="D301" t="s">
        <v>48</v>
      </c>
      <c r="E301">
        <v>53</v>
      </c>
      <c r="F301" t="s">
        <v>15</v>
      </c>
      <c r="G301">
        <v>403540</v>
      </c>
      <c r="H301">
        <v>204089</v>
      </c>
      <c r="I301">
        <v>129090</v>
      </c>
      <c r="J301" t="s">
        <v>23</v>
      </c>
      <c r="K301" t="s">
        <v>17</v>
      </c>
    </row>
    <row r="302" spans="1:11" x14ac:dyDescent="0.3">
      <c r="A302" t="s">
        <v>726</v>
      </c>
      <c r="B302" t="s">
        <v>107</v>
      </c>
      <c r="C302" t="s">
        <v>727</v>
      </c>
      <c r="D302" t="s">
        <v>44</v>
      </c>
      <c r="E302">
        <v>38</v>
      </c>
      <c r="F302" t="s">
        <v>32</v>
      </c>
      <c r="H302">
        <v>135637</v>
      </c>
      <c r="I302">
        <v>70852</v>
      </c>
      <c r="J302" t="s">
        <v>33</v>
      </c>
      <c r="K302" t="s">
        <v>17</v>
      </c>
    </row>
    <row r="303" spans="1:11" x14ac:dyDescent="0.3">
      <c r="A303" t="s">
        <v>728</v>
      </c>
      <c r="B303" t="s">
        <v>121</v>
      </c>
      <c r="C303" t="s">
        <v>729</v>
      </c>
      <c r="D303" t="s">
        <v>44</v>
      </c>
      <c r="E303">
        <v>50</v>
      </c>
      <c r="G303">
        <v>398645</v>
      </c>
      <c r="H303">
        <v>8577</v>
      </c>
      <c r="I303">
        <v>23013</v>
      </c>
      <c r="J303" t="s">
        <v>23</v>
      </c>
      <c r="K303" t="s">
        <v>17</v>
      </c>
    </row>
    <row r="304" spans="1:11" x14ac:dyDescent="0.3">
      <c r="A304" t="s">
        <v>730</v>
      </c>
      <c r="B304" t="s">
        <v>232</v>
      </c>
      <c r="C304" t="s">
        <v>653</v>
      </c>
      <c r="D304" t="s">
        <v>21</v>
      </c>
      <c r="E304">
        <v>30</v>
      </c>
      <c r="G304">
        <v>306261</v>
      </c>
      <c r="H304">
        <v>269798</v>
      </c>
      <c r="I304">
        <v>80635</v>
      </c>
      <c r="J304" t="s">
        <v>23</v>
      </c>
      <c r="K304" t="s">
        <v>24</v>
      </c>
    </row>
    <row r="305" spans="1:11" x14ac:dyDescent="0.3">
      <c r="A305" t="s">
        <v>731</v>
      </c>
      <c r="B305" t="s">
        <v>26</v>
      </c>
      <c r="C305" t="s">
        <v>732</v>
      </c>
      <c r="D305" t="s">
        <v>48</v>
      </c>
      <c r="E305">
        <v>57</v>
      </c>
      <c r="F305" t="s">
        <v>15</v>
      </c>
      <c r="G305">
        <v>272810</v>
      </c>
      <c r="H305">
        <v>224390</v>
      </c>
      <c r="I305">
        <v>54434</v>
      </c>
      <c r="J305" t="s">
        <v>23</v>
      </c>
      <c r="K305" t="s">
        <v>17</v>
      </c>
    </row>
    <row r="306" spans="1:11" x14ac:dyDescent="0.3">
      <c r="A306" t="s">
        <v>733</v>
      </c>
      <c r="B306" t="s">
        <v>194</v>
      </c>
      <c r="C306" t="s">
        <v>734</v>
      </c>
      <c r="D306" t="s">
        <v>48</v>
      </c>
      <c r="E306">
        <v>44</v>
      </c>
      <c r="F306" t="s">
        <v>90</v>
      </c>
      <c r="G306">
        <v>312807</v>
      </c>
      <c r="H306">
        <v>192625</v>
      </c>
      <c r="I306">
        <v>82424</v>
      </c>
      <c r="J306" t="s">
        <v>33</v>
      </c>
      <c r="K306" t="s">
        <v>17</v>
      </c>
    </row>
    <row r="307" spans="1:11" x14ac:dyDescent="0.3">
      <c r="A307" t="s">
        <v>735</v>
      </c>
      <c r="B307" t="s">
        <v>713</v>
      </c>
      <c r="C307" t="s">
        <v>43</v>
      </c>
      <c r="D307" t="s">
        <v>48</v>
      </c>
      <c r="E307">
        <v>27</v>
      </c>
      <c r="F307" t="s">
        <v>69</v>
      </c>
      <c r="G307">
        <v>251648</v>
      </c>
      <c r="H307">
        <v>103172</v>
      </c>
      <c r="I307">
        <v>26129</v>
      </c>
      <c r="J307" t="s">
        <v>33</v>
      </c>
      <c r="K307" t="s">
        <v>24</v>
      </c>
    </row>
    <row r="308" spans="1:11" x14ac:dyDescent="0.3">
      <c r="A308" t="s">
        <v>736</v>
      </c>
      <c r="B308" t="s">
        <v>737</v>
      </c>
      <c r="C308" t="s">
        <v>738</v>
      </c>
      <c r="D308" t="s">
        <v>58</v>
      </c>
      <c r="E308">
        <v>27</v>
      </c>
      <c r="F308" t="s">
        <v>32</v>
      </c>
      <c r="G308">
        <v>67974</v>
      </c>
      <c r="H308">
        <v>87618</v>
      </c>
      <c r="I308">
        <v>44357</v>
      </c>
      <c r="J308" t="s">
        <v>23</v>
      </c>
      <c r="K308" t="s">
        <v>17</v>
      </c>
    </row>
    <row r="309" spans="1:11" x14ac:dyDescent="0.3">
      <c r="A309" t="s">
        <v>739</v>
      </c>
      <c r="B309" t="s">
        <v>740</v>
      </c>
      <c r="C309" t="s">
        <v>213</v>
      </c>
      <c r="D309" t="s">
        <v>48</v>
      </c>
      <c r="E309">
        <v>22</v>
      </c>
      <c r="F309" t="s">
        <v>32</v>
      </c>
      <c r="G309">
        <v>485485</v>
      </c>
      <c r="H309">
        <v>18784</v>
      </c>
      <c r="I309">
        <v>93813</v>
      </c>
      <c r="J309" t="s">
        <v>16</v>
      </c>
      <c r="K309" t="s">
        <v>24</v>
      </c>
    </row>
    <row r="310" spans="1:11" x14ac:dyDescent="0.3">
      <c r="A310" t="s">
        <v>741</v>
      </c>
      <c r="B310" t="s">
        <v>742</v>
      </c>
      <c r="C310" t="s">
        <v>743</v>
      </c>
      <c r="D310" t="s">
        <v>58</v>
      </c>
      <c r="E310">
        <v>54</v>
      </c>
      <c r="F310" t="s">
        <v>28</v>
      </c>
      <c r="G310">
        <v>109958</v>
      </c>
      <c r="H310">
        <v>107125</v>
      </c>
      <c r="I310">
        <v>127145</v>
      </c>
      <c r="J310" t="s">
        <v>16</v>
      </c>
      <c r="K310" t="s">
        <v>24</v>
      </c>
    </row>
    <row r="311" spans="1:11" x14ac:dyDescent="0.3">
      <c r="A311" t="s">
        <v>744</v>
      </c>
      <c r="B311" t="s">
        <v>281</v>
      </c>
      <c r="C311" t="s">
        <v>745</v>
      </c>
      <c r="D311" t="s">
        <v>14</v>
      </c>
      <c r="E311">
        <v>43</v>
      </c>
      <c r="G311">
        <v>278282</v>
      </c>
      <c r="H311">
        <v>29959</v>
      </c>
      <c r="I311">
        <v>142328</v>
      </c>
      <c r="J311" t="s">
        <v>16</v>
      </c>
      <c r="K311" t="s">
        <v>17</v>
      </c>
    </row>
    <row r="312" spans="1:11" x14ac:dyDescent="0.3">
      <c r="A312" t="s">
        <v>746</v>
      </c>
      <c r="B312" t="s">
        <v>527</v>
      </c>
      <c r="C312" t="s">
        <v>665</v>
      </c>
      <c r="D312" t="s">
        <v>14</v>
      </c>
      <c r="E312">
        <v>50</v>
      </c>
      <c r="F312" t="s">
        <v>90</v>
      </c>
      <c r="G312">
        <v>355771</v>
      </c>
      <c r="I312">
        <v>41859</v>
      </c>
      <c r="J312" t="s">
        <v>33</v>
      </c>
      <c r="K312" t="s">
        <v>17</v>
      </c>
    </row>
    <row r="313" spans="1:11" x14ac:dyDescent="0.3">
      <c r="A313" t="s">
        <v>747</v>
      </c>
      <c r="B313" t="s">
        <v>203</v>
      </c>
      <c r="C313" t="s">
        <v>748</v>
      </c>
      <c r="D313" t="s">
        <v>48</v>
      </c>
      <c r="E313">
        <v>57</v>
      </c>
      <c r="G313">
        <v>45970</v>
      </c>
      <c r="H313">
        <v>128766</v>
      </c>
      <c r="I313">
        <v>125001</v>
      </c>
      <c r="J313" t="s">
        <v>33</v>
      </c>
      <c r="K313" t="s">
        <v>17</v>
      </c>
    </row>
    <row r="314" spans="1:11" x14ac:dyDescent="0.3">
      <c r="A314" t="s">
        <v>749</v>
      </c>
      <c r="B314" t="s">
        <v>750</v>
      </c>
      <c r="C314" t="s">
        <v>751</v>
      </c>
      <c r="D314" t="s">
        <v>44</v>
      </c>
      <c r="E314">
        <v>48</v>
      </c>
      <c r="H314">
        <v>206990</v>
      </c>
      <c r="I314">
        <v>54111</v>
      </c>
      <c r="J314" t="s">
        <v>23</v>
      </c>
      <c r="K314" t="s">
        <v>24</v>
      </c>
    </row>
    <row r="315" spans="1:11" x14ac:dyDescent="0.3">
      <c r="A315" t="s">
        <v>752</v>
      </c>
      <c r="B315" t="s">
        <v>753</v>
      </c>
      <c r="C315" t="s">
        <v>177</v>
      </c>
      <c r="D315" t="s">
        <v>21</v>
      </c>
      <c r="E315">
        <v>53</v>
      </c>
      <c r="F315" t="s">
        <v>59</v>
      </c>
      <c r="G315">
        <v>157820</v>
      </c>
      <c r="H315">
        <v>64024</v>
      </c>
      <c r="I315">
        <v>87134</v>
      </c>
      <c r="J315" t="s">
        <v>33</v>
      </c>
      <c r="K315" t="s">
        <v>17</v>
      </c>
    </row>
    <row r="316" spans="1:11" x14ac:dyDescent="0.3">
      <c r="A316" t="s">
        <v>754</v>
      </c>
      <c r="B316" t="s">
        <v>755</v>
      </c>
      <c r="C316" t="s">
        <v>756</v>
      </c>
      <c r="D316" t="s">
        <v>44</v>
      </c>
      <c r="E316">
        <v>26</v>
      </c>
      <c r="G316">
        <v>176152</v>
      </c>
      <c r="H316">
        <v>295988</v>
      </c>
      <c r="I316">
        <v>99815</v>
      </c>
      <c r="J316" t="s">
        <v>16</v>
      </c>
      <c r="K316" t="s">
        <v>17</v>
      </c>
    </row>
    <row r="317" spans="1:11" x14ac:dyDescent="0.3">
      <c r="A317" t="s">
        <v>757</v>
      </c>
      <c r="B317" t="s">
        <v>80</v>
      </c>
      <c r="C317" t="s">
        <v>758</v>
      </c>
      <c r="D317" t="s">
        <v>21</v>
      </c>
      <c r="E317">
        <v>58</v>
      </c>
      <c r="F317" t="s">
        <v>15</v>
      </c>
      <c r="G317">
        <v>287850</v>
      </c>
      <c r="H317">
        <v>126707</v>
      </c>
      <c r="I317">
        <v>35430</v>
      </c>
      <c r="J317" t="s">
        <v>16</v>
      </c>
      <c r="K317" t="s">
        <v>17</v>
      </c>
    </row>
    <row r="318" spans="1:11" x14ac:dyDescent="0.3">
      <c r="A318" t="s">
        <v>759</v>
      </c>
      <c r="B318" t="s">
        <v>760</v>
      </c>
      <c r="C318" t="s">
        <v>761</v>
      </c>
      <c r="D318" t="s">
        <v>58</v>
      </c>
      <c r="E318">
        <v>50</v>
      </c>
      <c r="F318" t="s">
        <v>37</v>
      </c>
      <c r="H318">
        <v>165647</v>
      </c>
      <c r="I318">
        <v>128389</v>
      </c>
      <c r="J318" t="s">
        <v>16</v>
      </c>
      <c r="K318" t="s">
        <v>24</v>
      </c>
    </row>
    <row r="319" spans="1:11" x14ac:dyDescent="0.3">
      <c r="A319" t="s">
        <v>762</v>
      </c>
      <c r="B319" t="s">
        <v>763</v>
      </c>
      <c r="C319" t="s">
        <v>580</v>
      </c>
      <c r="D319" t="s">
        <v>58</v>
      </c>
      <c r="E319">
        <v>50</v>
      </c>
      <c r="F319" t="s">
        <v>28</v>
      </c>
      <c r="G319">
        <v>77356</v>
      </c>
      <c r="H319">
        <v>224656</v>
      </c>
      <c r="I319">
        <v>39771</v>
      </c>
      <c r="J319" t="s">
        <v>23</v>
      </c>
      <c r="K319" t="s">
        <v>24</v>
      </c>
    </row>
    <row r="320" spans="1:11" x14ac:dyDescent="0.3">
      <c r="A320" t="s">
        <v>764</v>
      </c>
      <c r="B320" t="s">
        <v>260</v>
      </c>
      <c r="C320" t="s">
        <v>765</v>
      </c>
      <c r="D320" t="s">
        <v>48</v>
      </c>
      <c r="E320">
        <v>53</v>
      </c>
      <c r="F320" t="s">
        <v>22</v>
      </c>
      <c r="G320">
        <v>115703</v>
      </c>
      <c r="I320">
        <v>33155</v>
      </c>
      <c r="J320" t="s">
        <v>33</v>
      </c>
      <c r="K320" t="s">
        <v>24</v>
      </c>
    </row>
    <row r="321" spans="1:11" x14ac:dyDescent="0.3">
      <c r="A321" t="s">
        <v>766</v>
      </c>
      <c r="B321" t="s">
        <v>767</v>
      </c>
      <c r="C321" t="s">
        <v>756</v>
      </c>
      <c r="D321" t="s">
        <v>21</v>
      </c>
      <c r="E321">
        <v>28</v>
      </c>
      <c r="F321" t="s">
        <v>59</v>
      </c>
      <c r="G321">
        <v>119331</v>
      </c>
      <c r="H321">
        <v>53706</v>
      </c>
      <c r="I321">
        <v>112694</v>
      </c>
      <c r="J321" t="s">
        <v>16</v>
      </c>
      <c r="K321" t="s">
        <v>24</v>
      </c>
    </row>
    <row r="322" spans="1:11" x14ac:dyDescent="0.3">
      <c r="A322" t="s">
        <v>768</v>
      </c>
      <c r="B322" t="s">
        <v>188</v>
      </c>
      <c r="C322" t="s">
        <v>705</v>
      </c>
      <c r="D322" t="s">
        <v>14</v>
      </c>
      <c r="E322">
        <v>36</v>
      </c>
      <c r="F322" t="s">
        <v>69</v>
      </c>
      <c r="G322">
        <v>257047</v>
      </c>
      <c r="H322">
        <v>64877</v>
      </c>
      <c r="I322">
        <v>35938</v>
      </c>
      <c r="J322" t="s">
        <v>23</v>
      </c>
      <c r="K322" t="s">
        <v>24</v>
      </c>
    </row>
    <row r="323" spans="1:11" x14ac:dyDescent="0.3">
      <c r="A323" t="s">
        <v>769</v>
      </c>
      <c r="B323" t="s">
        <v>770</v>
      </c>
      <c r="C323" t="s">
        <v>157</v>
      </c>
      <c r="D323" t="s">
        <v>21</v>
      </c>
      <c r="E323">
        <v>28</v>
      </c>
      <c r="F323" t="s">
        <v>90</v>
      </c>
      <c r="G323">
        <v>212599</v>
      </c>
      <c r="H323">
        <v>223891</v>
      </c>
      <c r="I323">
        <v>107628</v>
      </c>
      <c r="J323" t="s">
        <v>33</v>
      </c>
      <c r="K323" t="s">
        <v>17</v>
      </c>
    </row>
    <row r="324" spans="1:11" x14ac:dyDescent="0.3">
      <c r="A324" t="s">
        <v>771</v>
      </c>
      <c r="B324" t="s">
        <v>770</v>
      </c>
      <c r="C324" t="s">
        <v>62</v>
      </c>
      <c r="D324" t="s">
        <v>44</v>
      </c>
      <c r="E324">
        <v>39</v>
      </c>
      <c r="G324">
        <v>298336</v>
      </c>
      <c r="H324">
        <v>266155</v>
      </c>
      <c r="I324">
        <v>132740</v>
      </c>
      <c r="J324" t="s">
        <v>16</v>
      </c>
      <c r="K324" t="s">
        <v>17</v>
      </c>
    </row>
    <row r="325" spans="1:11" x14ac:dyDescent="0.3">
      <c r="A325" t="s">
        <v>772</v>
      </c>
      <c r="B325" t="s">
        <v>773</v>
      </c>
      <c r="C325" t="s">
        <v>774</v>
      </c>
      <c r="D325" t="s">
        <v>14</v>
      </c>
      <c r="E325">
        <v>41</v>
      </c>
      <c r="F325" t="s">
        <v>69</v>
      </c>
      <c r="G325">
        <v>297902</v>
      </c>
      <c r="H325">
        <v>118874</v>
      </c>
      <c r="I325">
        <v>125811</v>
      </c>
      <c r="J325" t="s">
        <v>23</v>
      </c>
      <c r="K325" t="s">
        <v>24</v>
      </c>
    </row>
    <row r="326" spans="1:11" x14ac:dyDescent="0.3">
      <c r="A326" t="s">
        <v>775</v>
      </c>
      <c r="B326" t="s">
        <v>203</v>
      </c>
      <c r="C326" t="s">
        <v>489</v>
      </c>
      <c r="D326" t="s">
        <v>14</v>
      </c>
      <c r="E326">
        <v>33</v>
      </c>
      <c r="F326" t="s">
        <v>15</v>
      </c>
      <c r="G326">
        <v>404473</v>
      </c>
      <c r="H326">
        <v>114030</v>
      </c>
      <c r="I326">
        <v>134260</v>
      </c>
      <c r="J326" t="s">
        <v>16</v>
      </c>
      <c r="K326" t="s">
        <v>17</v>
      </c>
    </row>
    <row r="327" spans="1:11" x14ac:dyDescent="0.3">
      <c r="A327" t="s">
        <v>776</v>
      </c>
      <c r="B327" t="s">
        <v>599</v>
      </c>
      <c r="C327" t="s">
        <v>177</v>
      </c>
      <c r="D327" t="s">
        <v>58</v>
      </c>
      <c r="E327">
        <v>26</v>
      </c>
      <c r="F327" t="s">
        <v>59</v>
      </c>
      <c r="G327">
        <v>22755</v>
      </c>
      <c r="H327">
        <v>44105</v>
      </c>
      <c r="I327">
        <v>119698</v>
      </c>
      <c r="J327" t="s">
        <v>23</v>
      </c>
      <c r="K327" t="s">
        <v>17</v>
      </c>
    </row>
    <row r="328" spans="1:11" x14ac:dyDescent="0.3">
      <c r="A328" t="s">
        <v>777</v>
      </c>
      <c r="B328" t="s">
        <v>286</v>
      </c>
      <c r="C328" t="s">
        <v>778</v>
      </c>
      <c r="D328" t="s">
        <v>14</v>
      </c>
      <c r="E328">
        <v>50</v>
      </c>
      <c r="F328" t="s">
        <v>22</v>
      </c>
      <c r="H328">
        <v>5313</v>
      </c>
      <c r="I328">
        <v>73994</v>
      </c>
      <c r="J328" t="s">
        <v>33</v>
      </c>
      <c r="K328" t="s">
        <v>17</v>
      </c>
    </row>
    <row r="329" spans="1:11" x14ac:dyDescent="0.3">
      <c r="A329" t="s">
        <v>779</v>
      </c>
      <c r="B329" t="s">
        <v>197</v>
      </c>
      <c r="C329" t="s">
        <v>477</v>
      </c>
      <c r="D329" t="s">
        <v>21</v>
      </c>
      <c r="E329">
        <v>28</v>
      </c>
      <c r="F329" t="s">
        <v>22</v>
      </c>
      <c r="H329">
        <v>42716</v>
      </c>
      <c r="I329">
        <v>124454</v>
      </c>
      <c r="J329" t="s">
        <v>23</v>
      </c>
      <c r="K329" t="s">
        <v>17</v>
      </c>
    </row>
    <row r="330" spans="1:11" x14ac:dyDescent="0.3">
      <c r="A330" t="s">
        <v>780</v>
      </c>
      <c r="B330" t="s">
        <v>363</v>
      </c>
      <c r="C330" t="s">
        <v>43</v>
      </c>
      <c r="D330" t="s">
        <v>21</v>
      </c>
      <c r="E330">
        <v>27</v>
      </c>
      <c r="G330">
        <v>290084</v>
      </c>
      <c r="H330">
        <v>46043</v>
      </c>
      <c r="I330">
        <v>41016</v>
      </c>
      <c r="J330" t="s">
        <v>16</v>
      </c>
      <c r="K330" t="s">
        <v>24</v>
      </c>
    </row>
    <row r="331" spans="1:11" x14ac:dyDescent="0.3">
      <c r="A331" t="s">
        <v>781</v>
      </c>
      <c r="B331" t="s">
        <v>782</v>
      </c>
      <c r="C331" t="s">
        <v>783</v>
      </c>
      <c r="D331" t="s">
        <v>14</v>
      </c>
      <c r="E331">
        <v>46</v>
      </c>
      <c r="F331" t="s">
        <v>37</v>
      </c>
      <c r="G331">
        <v>170467</v>
      </c>
      <c r="H331">
        <v>135825</v>
      </c>
      <c r="I331">
        <v>109158</v>
      </c>
      <c r="J331" t="s">
        <v>33</v>
      </c>
      <c r="K331" t="s">
        <v>24</v>
      </c>
    </row>
    <row r="332" spans="1:11" x14ac:dyDescent="0.3">
      <c r="A332" t="s">
        <v>784</v>
      </c>
      <c r="B332" t="s">
        <v>110</v>
      </c>
      <c r="C332" t="s">
        <v>174</v>
      </c>
      <c r="D332" t="s">
        <v>48</v>
      </c>
      <c r="E332">
        <v>49</v>
      </c>
      <c r="G332">
        <v>204803</v>
      </c>
      <c r="H332">
        <v>32528</v>
      </c>
      <c r="I332">
        <v>63634</v>
      </c>
      <c r="J332" t="s">
        <v>23</v>
      </c>
      <c r="K332" t="s">
        <v>24</v>
      </c>
    </row>
    <row r="333" spans="1:11" x14ac:dyDescent="0.3">
      <c r="A333" t="s">
        <v>785</v>
      </c>
      <c r="B333" t="s">
        <v>116</v>
      </c>
      <c r="C333" t="s">
        <v>786</v>
      </c>
      <c r="D333" t="s">
        <v>14</v>
      </c>
      <c r="E333">
        <v>25</v>
      </c>
      <c r="F333" t="s">
        <v>90</v>
      </c>
      <c r="G333">
        <v>80008</v>
      </c>
      <c r="H333">
        <v>277616</v>
      </c>
      <c r="I333">
        <v>147411</v>
      </c>
      <c r="J333" t="s">
        <v>16</v>
      </c>
      <c r="K333" t="s">
        <v>24</v>
      </c>
    </row>
    <row r="334" spans="1:11" x14ac:dyDescent="0.3">
      <c r="A334" t="s">
        <v>787</v>
      </c>
      <c r="B334" t="s">
        <v>788</v>
      </c>
      <c r="C334" t="s">
        <v>789</v>
      </c>
      <c r="D334" t="s">
        <v>44</v>
      </c>
      <c r="E334">
        <v>49</v>
      </c>
      <c r="F334" t="s">
        <v>28</v>
      </c>
      <c r="G334">
        <v>343663</v>
      </c>
      <c r="H334">
        <v>214206</v>
      </c>
      <c r="I334">
        <v>98557</v>
      </c>
      <c r="J334" t="s">
        <v>23</v>
      </c>
      <c r="K334" t="s">
        <v>17</v>
      </c>
    </row>
    <row r="335" spans="1:11" x14ac:dyDescent="0.3">
      <c r="A335" t="s">
        <v>790</v>
      </c>
      <c r="B335" t="s">
        <v>31</v>
      </c>
      <c r="C335" t="s">
        <v>791</v>
      </c>
      <c r="D335" t="s">
        <v>48</v>
      </c>
      <c r="E335">
        <v>35</v>
      </c>
      <c r="F335" t="s">
        <v>32</v>
      </c>
      <c r="G335">
        <v>9875</v>
      </c>
      <c r="H335">
        <v>172030</v>
      </c>
      <c r="I335">
        <v>52296</v>
      </c>
      <c r="J335" t="s">
        <v>16</v>
      </c>
      <c r="K335" t="s">
        <v>17</v>
      </c>
    </row>
    <row r="336" spans="1:11" x14ac:dyDescent="0.3">
      <c r="A336" t="s">
        <v>792</v>
      </c>
      <c r="B336" t="s">
        <v>793</v>
      </c>
      <c r="C336" t="s">
        <v>794</v>
      </c>
      <c r="D336" t="s">
        <v>44</v>
      </c>
      <c r="E336">
        <v>21</v>
      </c>
      <c r="F336" t="s">
        <v>90</v>
      </c>
      <c r="H336">
        <v>175040</v>
      </c>
      <c r="I336">
        <v>85623</v>
      </c>
      <c r="J336" t="s">
        <v>16</v>
      </c>
      <c r="K336" t="s">
        <v>17</v>
      </c>
    </row>
    <row r="337" spans="1:11" x14ac:dyDescent="0.3">
      <c r="A337" t="s">
        <v>795</v>
      </c>
      <c r="B337" t="s">
        <v>796</v>
      </c>
      <c r="C337" t="s">
        <v>232</v>
      </c>
      <c r="D337" t="s">
        <v>44</v>
      </c>
      <c r="E337">
        <v>45</v>
      </c>
      <c r="F337" t="s">
        <v>32</v>
      </c>
      <c r="G337">
        <v>498449</v>
      </c>
      <c r="H337">
        <v>8916</v>
      </c>
      <c r="I337">
        <v>16561</v>
      </c>
      <c r="J337" t="s">
        <v>23</v>
      </c>
      <c r="K337" t="s">
        <v>24</v>
      </c>
    </row>
    <row r="338" spans="1:11" x14ac:dyDescent="0.3">
      <c r="A338" t="s">
        <v>797</v>
      </c>
      <c r="B338" t="s">
        <v>640</v>
      </c>
      <c r="C338" t="s">
        <v>798</v>
      </c>
      <c r="D338" t="s">
        <v>58</v>
      </c>
      <c r="E338">
        <v>32</v>
      </c>
      <c r="F338" t="s">
        <v>28</v>
      </c>
      <c r="H338">
        <v>17147</v>
      </c>
      <c r="I338">
        <v>126727</v>
      </c>
      <c r="J338" t="s">
        <v>16</v>
      </c>
      <c r="K338" t="s">
        <v>17</v>
      </c>
    </row>
    <row r="339" spans="1:11" x14ac:dyDescent="0.3">
      <c r="A339" t="s">
        <v>799</v>
      </c>
      <c r="B339" t="s">
        <v>800</v>
      </c>
      <c r="C339" t="s">
        <v>801</v>
      </c>
      <c r="D339" t="s">
        <v>44</v>
      </c>
      <c r="E339">
        <v>31</v>
      </c>
      <c r="F339" t="s">
        <v>59</v>
      </c>
      <c r="G339">
        <v>4732</v>
      </c>
      <c r="H339">
        <v>240273</v>
      </c>
      <c r="I339">
        <v>104443</v>
      </c>
      <c r="J339" t="s">
        <v>23</v>
      </c>
      <c r="K339" t="s">
        <v>17</v>
      </c>
    </row>
    <row r="340" spans="1:11" x14ac:dyDescent="0.3">
      <c r="A340" t="s">
        <v>802</v>
      </c>
      <c r="B340" t="s">
        <v>127</v>
      </c>
      <c r="C340" t="s">
        <v>803</v>
      </c>
      <c r="D340" t="s">
        <v>14</v>
      </c>
      <c r="E340">
        <v>24</v>
      </c>
      <c r="F340" t="s">
        <v>59</v>
      </c>
      <c r="G340">
        <v>8059</v>
      </c>
      <c r="H340">
        <v>225947</v>
      </c>
      <c r="I340">
        <v>49929</v>
      </c>
      <c r="J340" t="s">
        <v>33</v>
      </c>
      <c r="K340" t="s">
        <v>17</v>
      </c>
    </row>
    <row r="341" spans="1:11" x14ac:dyDescent="0.3">
      <c r="A341" t="s">
        <v>804</v>
      </c>
      <c r="B341" t="s">
        <v>375</v>
      </c>
      <c r="C341" t="s">
        <v>805</v>
      </c>
      <c r="D341" t="s">
        <v>14</v>
      </c>
      <c r="E341">
        <v>59</v>
      </c>
      <c r="F341" t="s">
        <v>90</v>
      </c>
      <c r="G341">
        <v>172506</v>
      </c>
      <c r="H341">
        <v>16556</v>
      </c>
      <c r="I341">
        <v>122532</v>
      </c>
      <c r="J341" t="s">
        <v>16</v>
      </c>
      <c r="K341" t="s">
        <v>17</v>
      </c>
    </row>
    <row r="342" spans="1:11" x14ac:dyDescent="0.3">
      <c r="A342" t="s">
        <v>806</v>
      </c>
      <c r="B342" t="s">
        <v>340</v>
      </c>
      <c r="C342" t="s">
        <v>807</v>
      </c>
      <c r="D342" t="s">
        <v>44</v>
      </c>
      <c r="E342">
        <v>24</v>
      </c>
      <c r="F342" t="s">
        <v>28</v>
      </c>
      <c r="G342">
        <v>378948</v>
      </c>
      <c r="H342">
        <v>170870</v>
      </c>
      <c r="I342">
        <v>61035</v>
      </c>
      <c r="J342" t="s">
        <v>33</v>
      </c>
      <c r="K342" t="s">
        <v>17</v>
      </c>
    </row>
    <row r="343" spans="1:11" x14ac:dyDescent="0.3">
      <c r="A343" t="s">
        <v>808</v>
      </c>
      <c r="B343" t="s">
        <v>809</v>
      </c>
      <c r="C343" t="s">
        <v>805</v>
      </c>
      <c r="D343" t="s">
        <v>48</v>
      </c>
      <c r="E343">
        <v>49</v>
      </c>
      <c r="G343">
        <v>41359</v>
      </c>
      <c r="H343">
        <v>85198</v>
      </c>
      <c r="I343">
        <v>70505</v>
      </c>
      <c r="J343" t="s">
        <v>16</v>
      </c>
      <c r="K343" t="s">
        <v>17</v>
      </c>
    </row>
    <row r="344" spans="1:11" x14ac:dyDescent="0.3">
      <c r="A344" t="s">
        <v>810</v>
      </c>
      <c r="B344" t="s">
        <v>538</v>
      </c>
      <c r="C344" t="s">
        <v>811</v>
      </c>
      <c r="D344" t="s">
        <v>44</v>
      </c>
      <c r="E344">
        <v>59</v>
      </c>
      <c r="F344" t="s">
        <v>90</v>
      </c>
      <c r="G344">
        <v>375375</v>
      </c>
      <c r="H344">
        <v>174756</v>
      </c>
      <c r="I344">
        <v>81729</v>
      </c>
      <c r="J344" t="s">
        <v>23</v>
      </c>
      <c r="K344" t="s">
        <v>17</v>
      </c>
    </row>
    <row r="345" spans="1:11" x14ac:dyDescent="0.3">
      <c r="A345" t="s">
        <v>812</v>
      </c>
      <c r="B345" t="s">
        <v>510</v>
      </c>
      <c r="C345" t="s">
        <v>365</v>
      </c>
      <c r="D345" t="s">
        <v>58</v>
      </c>
      <c r="E345">
        <v>50</v>
      </c>
      <c r="F345" t="s">
        <v>15</v>
      </c>
      <c r="G345">
        <v>336760</v>
      </c>
      <c r="H345">
        <v>126805</v>
      </c>
      <c r="I345">
        <v>32209</v>
      </c>
      <c r="J345" t="s">
        <v>23</v>
      </c>
      <c r="K345" t="s">
        <v>17</v>
      </c>
    </row>
    <row r="346" spans="1:11" x14ac:dyDescent="0.3">
      <c r="A346" t="s">
        <v>813</v>
      </c>
      <c r="B346" t="s">
        <v>135</v>
      </c>
      <c r="C346" t="s">
        <v>580</v>
      </c>
      <c r="D346" t="s">
        <v>58</v>
      </c>
      <c r="E346">
        <v>55</v>
      </c>
      <c r="F346" t="s">
        <v>90</v>
      </c>
      <c r="G346">
        <v>320319</v>
      </c>
      <c r="H346">
        <v>40592</v>
      </c>
      <c r="I346">
        <v>115131</v>
      </c>
      <c r="J346" t="s">
        <v>33</v>
      </c>
      <c r="K346" t="s">
        <v>17</v>
      </c>
    </row>
    <row r="347" spans="1:11" x14ac:dyDescent="0.3">
      <c r="A347" t="s">
        <v>814</v>
      </c>
      <c r="B347" t="s">
        <v>815</v>
      </c>
      <c r="C347" t="s">
        <v>816</v>
      </c>
      <c r="D347" t="s">
        <v>48</v>
      </c>
      <c r="E347">
        <v>56</v>
      </c>
      <c r="F347" t="s">
        <v>59</v>
      </c>
      <c r="G347">
        <v>62048</v>
      </c>
      <c r="H347">
        <v>240071</v>
      </c>
      <c r="I347">
        <v>16656</v>
      </c>
      <c r="J347" t="s">
        <v>33</v>
      </c>
      <c r="K347" t="s">
        <v>24</v>
      </c>
    </row>
    <row r="348" spans="1:11" x14ac:dyDescent="0.3">
      <c r="A348" t="s">
        <v>817</v>
      </c>
      <c r="B348" t="s">
        <v>818</v>
      </c>
      <c r="C348" t="s">
        <v>819</v>
      </c>
      <c r="D348" t="s">
        <v>58</v>
      </c>
      <c r="E348">
        <v>34</v>
      </c>
      <c r="F348" t="s">
        <v>59</v>
      </c>
      <c r="G348">
        <v>131492</v>
      </c>
      <c r="H348">
        <v>202927</v>
      </c>
      <c r="I348">
        <v>60858</v>
      </c>
      <c r="J348" t="s">
        <v>16</v>
      </c>
      <c r="K348" t="s">
        <v>24</v>
      </c>
    </row>
    <row r="349" spans="1:11" x14ac:dyDescent="0.3">
      <c r="A349" t="s">
        <v>820</v>
      </c>
      <c r="B349" t="s">
        <v>821</v>
      </c>
      <c r="C349" t="s">
        <v>447</v>
      </c>
      <c r="D349" t="s">
        <v>21</v>
      </c>
      <c r="E349">
        <v>52</v>
      </c>
      <c r="G349">
        <v>219681</v>
      </c>
      <c r="H349">
        <v>217472</v>
      </c>
      <c r="I349">
        <v>147457</v>
      </c>
      <c r="J349" t="s">
        <v>16</v>
      </c>
      <c r="K349" t="s">
        <v>24</v>
      </c>
    </row>
    <row r="350" spans="1:11" x14ac:dyDescent="0.3">
      <c r="A350" t="s">
        <v>822</v>
      </c>
      <c r="B350" t="s">
        <v>150</v>
      </c>
      <c r="C350" t="s">
        <v>823</v>
      </c>
      <c r="D350" t="s">
        <v>21</v>
      </c>
      <c r="E350">
        <v>33</v>
      </c>
      <c r="F350" t="s">
        <v>22</v>
      </c>
      <c r="G350">
        <v>174752</v>
      </c>
      <c r="H350">
        <v>53222</v>
      </c>
      <c r="I350">
        <v>75892</v>
      </c>
      <c r="J350" t="s">
        <v>33</v>
      </c>
      <c r="K350" t="s">
        <v>17</v>
      </c>
    </row>
    <row r="351" spans="1:11" x14ac:dyDescent="0.3">
      <c r="A351" t="s">
        <v>824</v>
      </c>
      <c r="B351" t="s">
        <v>825</v>
      </c>
      <c r="C351" t="s">
        <v>826</v>
      </c>
      <c r="D351" t="s">
        <v>21</v>
      </c>
      <c r="E351">
        <v>37</v>
      </c>
      <c r="F351" t="s">
        <v>69</v>
      </c>
      <c r="G351">
        <v>192495</v>
      </c>
      <c r="H351">
        <v>48295</v>
      </c>
      <c r="I351">
        <v>106034</v>
      </c>
      <c r="J351" t="s">
        <v>33</v>
      </c>
      <c r="K351" t="s">
        <v>17</v>
      </c>
    </row>
    <row r="352" spans="1:11" x14ac:dyDescent="0.3">
      <c r="A352" t="s">
        <v>827</v>
      </c>
      <c r="B352" t="s">
        <v>369</v>
      </c>
      <c r="C352" t="s">
        <v>174</v>
      </c>
      <c r="D352" t="s">
        <v>21</v>
      </c>
      <c r="E352">
        <v>55</v>
      </c>
      <c r="F352" t="s">
        <v>59</v>
      </c>
      <c r="G352">
        <v>336350</v>
      </c>
      <c r="H352">
        <v>18182</v>
      </c>
      <c r="I352">
        <v>113090</v>
      </c>
      <c r="J352" t="s">
        <v>23</v>
      </c>
      <c r="K352" t="s">
        <v>24</v>
      </c>
    </row>
    <row r="353" spans="1:11" x14ac:dyDescent="0.3">
      <c r="A353" t="s">
        <v>828</v>
      </c>
      <c r="B353" t="s">
        <v>829</v>
      </c>
      <c r="C353" t="s">
        <v>830</v>
      </c>
      <c r="D353" t="s">
        <v>44</v>
      </c>
      <c r="E353">
        <v>30</v>
      </c>
      <c r="F353" t="s">
        <v>37</v>
      </c>
      <c r="G353">
        <v>232334</v>
      </c>
      <c r="H353">
        <v>192846</v>
      </c>
      <c r="I353">
        <v>107785</v>
      </c>
      <c r="J353" t="s">
        <v>16</v>
      </c>
      <c r="K353" t="s">
        <v>24</v>
      </c>
    </row>
    <row r="354" spans="1:11" x14ac:dyDescent="0.3">
      <c r="A354" t="s">
        <v>831</v>
      </c>
      <c r="B354" t="s">
        <v>696</v>
      </c>
      <c r="C354" t="s">
        <v>832</v>
      </c>
      <c r="D354" t="s">
        <v>44</v>
      </c>
      <c r="E354">
        <v>49</v>
      </c>
      <c r="F354" t="s">
        <v>37</v>
      </c>
      <c r="G354">
        <v>321848</v>
      </c>
      <c r="H354">
        <v>278204</v>
      </c>
      <c r="I354">
        <v>51310</v>
      </c>
      <c r="J354" t="s">
        <v>16</v>
      </c>
      <c r="K354" t="s">
        <v>17</v>
      </c>
    </row>
    <row r="355" spans="1:11" x14ac:dyDescent="0.3">
      <c r="A355" t="s">
        <v>833</v>
      </c>
      <c r="B355" t="s">
        <v>135</v>
      </c>
      <c r="C355" t="s">
        <v>834</v>
      </c>
      <c r="D355" t="s">
        <v>14</v>
      </c>
      <c r="E355">
        <v>58</v>
      </c>
      <c r="G355">
        <v>436251</v>
      </c>
      <c r="H355">
        <v>266972</v>
      </c>
      <c r="I355">
        <v>75556</v>
      </c>
      <c r="J355" t="s">
        <v>23</v>
      </c>
      <c r="K355" t="s">
        <v>24</v>
      </c>
    </row>
    <row r="356" spans="1:11" x14ac:dyDescent="0.3">
      <c r="A356" t="s">
        <v>835</v>
      </c>
      <c r="B356" t="s">
        <v>836</v>
      </c>
      <c r="C356" t="s">
        <v>837</v>
      </c>
      <c r="D356" t="s">
        <v>44</v>
      </c>
      <c r="E356">
        <v>35</v>
      </c>
      <c r="F356" t="s">
        <v>15</v>
      </c>
      <c r="G356">
        <v>214107</v>
      </c>
      <c r="H356">
        <v>149662</v>
      </c>
      <c r="I356">
        <v>108410</v>
      </c>
      <c r="J356" t="s">
        <v>23</v>
      </c>
      <c r="K356" t="s">
        <v>17</v>
      </c>
    </row>
    <row r="357" spans="1:11" x14ac:dyDescent="0.3">
      <c r="A357" t="s">
        <v>838</v>
      </c>
      <c r="B357" t="s">
        <v>839</v>
      </c>
      <c r="C357" t="s">
        <v>157</v>
      </c>
      <c r="D357" t="s">
        <v>21</v>
      </c>
      <c r="F357" t="s">
        <v>69</v>
      </c>
      <c r="G357">
        <v>278509</v>
      </c>
      <c r="H357">
        <v>72745</v>
      </c>
      <c r="I357">
        <v>45862</v>
      </c>
      <c r="J357" t="s">
        <v>16</v>
      </c>
      <c r="K357" t="s">
        <v>24</v>
      </c>
    </row>
    <row r="358" spans="1:11" x14ac:dyDescent="0.3">
      <c r="A358" t="s">
        <v>840</v>
      </c>
      <c r="B358" t="s">
        <v>532</v>
      </c>
      <c r="C358" t="s">
        <v>841</v>
      </c>
      <c r="D358" t="s">
        <v>48</v>
      </c>
      <c r="E358">
        <v>48</v>
      </c>
      <c r="F358" t="s">
        <v>69</v>
      </c>
      <c r="G358">
        <v>57117</v>
      </c>
      <c r="H358">
        <v>53915</v>
      </c>
      <c r="I358">
        <v>117766</v>
      </c>
      <c r="J358" t="s">
        <v>33</v>
      </c>
      <c r="K358" t="s">
        <v>17</v>
      </c>
    </row>
    <row r="359" spans="1:11" x14ac:dyDescent="0.3">
      <c r="A359" t="s">
        <v>842</v>
      </c>
      <c r="B359" t="s">
        <v>80</v>
      </c>
      <c r="C359" t="s">
        <v>86</v>
      </c>
      <c r="D359" t="s">
        <v>21</v>
      </c>
      <c r="E359">
        <v>43</v>
      </c>
      <c r="F359" t="s">
        <v>90</v>
      </c>
      <c r="G359">
        <v>396455</v>
      </c>
      <c r="H359">
        <v>93598</v>
      </c>
      <c r="I359">
        <v>65578</v>
      </c>
      <c r="J359" t="s">
        <v>23</v>
      </c>
      <c r="K359" t="s">
        <v>24</v>
      </c>
    </row>
    <row r="360" spans="1:11" x14ac:dyDescent="0.3">
      <c r="A360" t="s">
        <v>843</v>
      </c>
      <c r="B360" t="s">
        <v>506</v>
      </c>
      <c r="C360" t="s">
        <v>844</v>
      </c>
      <c r="D360" t="s">
        <v>44</v>
      </c>
      <c r="E360">
        <v>47</v>
      </c>
      <c r="G360">
        <v>90614</v>
      </c>
      <c r="H360">
        <v>189968</v>
      </c>
      <c r="I360">
        <v>92863</v>
      </c>
      <c r="J360" t="s">
        <v>16</v>
      </c>
      <c r="K360" t="s">
        <v>17</v>
      </c>
    </row>
    <row r="361" spans="1:11" x14ac:dyDescent="0.3">
      <c r="A361" t="s">
        <v>845</v>
      </c>
      <c r="B361" t="s">
        <v>750</v>
      </c>
      <c r="C361" t="s">
        <v>846</v>
      </c>
      <c r="D361" t="s">
        <v>14</v>
      </c>
      <c r="E361">
        <v>21</v>
      </c>
      <c r="F361" t="s">
        <v>37</v>
      </c>
      <c r="G361">
        <v>111730</v>
      </c>
      <c r="H361">
        <v>155929</v>
      </c>
      <c r="I361">
        <v>112465</v>
      </c>
      <c r="J361" t="s">
        <v>33</v>
      </c>
      <c r="K361" t="s">
        <v>17</v>
      </c>
    </row>
    <row r="362" spans="1:11" x14ac:dyDescent="0.3">
      <c r="A362" t="s">
        <v>847</v>
      </c>
      <c r="B362" t="s">
        <v>848</v>
      </c>
      <c r="C362" t="s">
        <v>849</v>
      </c>
      <c r="D362" t="s">
        <v>44</v>
      </c>
      <c r="E362">
        <v>30</v>
      </c>
      <c r="F362" t="s">
        <v>32</v>
      </c>
      <c r="G362">
        <v>44023</v>
      </c>
      <c r="H362">
        <v>47631</v>
      </c>
      <c r="I362">
        <v>32958</v>
      </c>
      <c r="J362" t="s">
        <v>33</v>
      </c>
      <c r="K362" t="s">
        <v>24</v>
      </c>
    </row>
    <row r="363" spans="1:11" x14ac:dyDescent="0.3">
      <c r="A363" t="s">
        <v>850</v>
      </c>
      <c r="B363" t="s">
        <v>851</v>
      </c>
      <c r="C363" t="s">
        <v>585</v>
      </c>
      <c r="D363" t="s">
        <v>48</v>
      </c>
      <c r="E363">
        <v>42</v>
      </c>
      <c r="F363" t="s">
        <v>32</v>
      </c>
      <c r="I363">
        <v>48171</v>
      </c>
      <c r="J363" t="s">
        <v>23</v>
      </c>
      <c r="K363" t="s">
        <v>17</v>
      </c>
    </row>
    <row r="364" spans="1:11" x14ac:dyDescent="0.3">
      <c r="A364" t="s">
        <v>852</v>
      </c>
      <c r="B364" t="s">
        <v>255</v>
      </c>
      <c r="C364" t="s">
        <v>853</v>
      </c>
      <c r="D364" t="s">
        <v>48</v>
      </c>
      <c r="E364">
        <v>57</v>
      </c>
      <c r="G364">
        <v>44348</v>
      </c>
      <c r="H364">
        <v>68666</v>
      </c>
      <c r="I364">
        <v>37097</v>
      </c>
      <c r="J364" t="s">
        <v>16</v>
      </c>
      <c r="K364" t="s">
        <v>17</v>
      </c>
    </row>
    <row r="365" spans="1:11" x14ac:dyDescent="0.3">
      <c r="A365" t="s">
        <v>854</v>
      </c>
      <c r="B365" t="s">
        <v>156</v>
      </c>
      <c r="C365" t="s">
        <v>855</v>
      </c>
      <c r="D365" t="s">
        <v>21</v>
      </c>
      <c r="E365">
        <v>43</v>
      </c>
      <c r="G365">
        <v>466548</v>
      </c>
      <c r="H365">
        <v>22733</v>
      </c>
      <c r="I365">
        <v>34409</v>
      </c>
      <c r="J365" t="s">
        <v>16</v>
      </c>
      <c r="K365" t="s">
        <v>17</v>
      </c>
    </row>
    <row r="366" spans="1:11" x14ac:dyDescent="0.3">
      <c r="A366" t="s">
        <v>856</v>
      </c>
      <c r="B366" t="s">
        <v>857</v>
      </c>
      <c r="C366" t="s">
        <v>213</v>
      </c>
      <c r="D366" t="s">
        <v>48</v>
      </c>
      <c r="E366">
        <v>52</v>
      </c>
      <c r="F366" t="s">
        <v>90</v>
      </c>
      <c r="G366">
        <v>360002</v>
      </c>
      <c r="H366">
        <v>161259</v>
      </c>
      <c r="I366">
        <v>111384</v>
      </c>
      <c r="J366" t="s">
        <v>16</v>
      </c>
      <c r="K366" t="s">
        <v>24</v>
      </c>
    </row>
    <row r="367" spans="1:11" x14ac:dyDescent="0.3">
      <c r="A367" t="s">
        <v>858</v>
      </c>
      <c r="B367" t="s">
        <v>506</v>
      </c>
      <c r="C367" t="s">
        <v>447</v>
      </c>
      <c r="D367" t="s">
        <v>21</v>
      </c>
      <c r="E367">
        <v>39</v>
      </c>
      <c r="F367" t="s">
        <v>22</v>
      </c>
      <c r="G367">
        <v>258853</v>
      </c>
      <c r="H367">
        <v>20010</v>
      </c>
      <c r="I367">
        <v>22361</v>
      </c>
      <c r="J367" t="s">
        <v>23</v>
      </c>
      <c r="K367" t="s">
        <v>24</v>
      </c>
    </row>
    <row r="368" spans="1:11" x14ac:dyDescent="0.3">
      <c r="A368" t="s">
        <v>859</v>
      </c>
      <c r="B368" t="s">
        <v>47</v>
      </c>
      <c r="C368" t="s">
        <v>860</v>
      </c>
      <c r="D368" t="s">
        <v>14</v>
      </c>
      <c r="E368">
        <v>48</v>
      </c>
      <c r="F368" t="s">
        <v>69</v>
      </c>
      <c r="H368">
        <v>101858</v>
      </c>
      <c r="I368">
        <v>95966</v>
      </c>
      <c r="J368" t="s">
        <v>23</v>
      </c>
      <c r="K368" t="s">
        <v>17</v>
      </c>
    </row>
    <row r="369" spans="1:11" x14ac:dyDescent="0.3">
      <c r="A369" t="s">
        <v>861</v>
      </c>
      <c r="B369" t="s">
        <v>500</v>
      </c>
      <c r="C369" t="s">
        <v>862</v>
      </c>
      <c r="D369" t="s">
        <v>14</v>
      </c>
      <c r="E369">
        <v>43</v>
      </c>
      <c r="G369">
        <v>237006</v>
      </c>
      <c r="H369">
        <v>84806</v>
      </c>
      <c r="I369">
        <v>105352</v>
      </c>
      <c r="J369" t="s">
        <v>23</v>
      </c>
      <c r="K369" t="s">
        <v>17</v>
      </c>
    </row>
    <row r="370" spans="1:11" x14ac:dyDescent="0.3">
      <c r="A370" t="s">
        <v>863</v>
      </c>
      <c r="B370" t="s">
        <v>864</v>
      </c>
      <c r="C370" t="s">
        <v>751</v>
      </c>
      <c r="D370" t="s">
        <v>21</v>
      </c>
      <c r="E370">
        <v>39</v>
      </c>
      <c r="G370">
        <v>261414</v>
      </c>
      <c r="H370">
        <v>239815</v>
      </c>
      <c r="I370">
        <v>30064</v>
      </c>
      <c r="J370" t="s">
        <v>16</v>
      </c>
      <c r="K370" t="s">
        <v>24</v>
      </c>
    </row>
    <row r="371" spans="1:11" x14ac:dyDescent="0.3">
      <c r="A371" t="s">
        <v>865</v>
      </c>
      <c r="B371" t="s">
        <v>866</v>
      </c>
      <c r="C371" t="s">
        <v>335</v>
      </c>
      <c r="D371" t="s">
        <v>48</v>
      </c>
      <c r="E371">
        <v>56</v>
      </c>
      <c r="F371" t="s">
        <v>15</v>
      </c>
      <c r="G371">
        <v>319744</v>
      </c>
      <c r="H371">
        <v>93137</v>
      </c>
      <c r="I371">
        <v>76700</v>
      </c>
      <c r="J371" t="s">
        <v>16</v>
      </c>
      <c r="K371" t="s">
        <v>17</v>
      </c>
    </row>
    <row r="372" spans="1:11" x14ac:dyDescent="0.3">
      <c r="A372" t="s">
        <v>867</v>
      </c>
      <c r="B372" t="s">
        <v>821</v>
      </c>
      <c r="C372" t="s">
        <v>868</v>
      </c>
      <c r="D372" t="s">
        <v>44</v>
      </c>
      <c r="E372">
        <v>24</v>
      </c>
      <c r="F372" t="s">
        <v>32</v>
      </c>
      <c r="H372">
        <v>133095</v>
      </c>
      <c r="I372">
        <v>48979</v>
      </c>
      <c r="J372" t="s">
        <v>33</v>
      </c>
      <c r="K372" t="s">
        <v>24</v>
      </c>
    </row>
    <row r="373" spans="1:11" x14ac:dyDescent="0.3">
      <c r="A373" t="s">
        <v>869</v>
      </c>
      <c r="B373" t="s">
        <v>870</v>
      </c>
      <c r="C373" t="s">
        <v>871</v>
      </c>
      <c r="D373" t="s">
        <v>44</v>
      </c>
      <c r="E373">
        <v>59</v>
      </c>
      <c r="F373" t="s">
        <v>37</v>
      </c>
      <c r="G373">
        <v>344622</v>
      </c>
      <c r="H373">
        <v>260297</v>
      </c>
      <c r="I373">
        <v>74372</v>
      </c>
      <c r="J373" t="s">
        <v>16</v>
      </c>
      <c r="K373" t="s">
        <v>24</v>
      </c>
    </row>
    <row r="374" spans="1:11" x14ac:dyDescent="0.3">
      <c r="A374" t="s">
        <v>872</v>
      </c>
      <c r="B374" t="s">
        <v>796</v>
      </c>
      <c r="C374" t="s">
        <v>225</v>
      </c>
      <c r="D374" t="s">
        <v>21</v>
      </c>
      <c r="E374">
        <v>28</v>
      </c>
      <c r="F374" t="s">
        <v>22</v>
      </c>
      <c r="G374">
        <v>392183</v>
      </c>
      <c r="H374">
        <v>132526</v>
      </c>
      <c r="I374">
        <v>134976</v>
      </c>
      <c r="J374" t="s">
        <v>16</v>
      </c>
      <c r="K374" t="s">
        <v>24</v>
      </c>
    </row>
    <row r="375" spans="1:11" x14ac:dyDescent="0.3">
      <c r="A375" t="s">
        <v>873</v>
      </c>
      <c r="B375" t="s">
        <v>643</v>
      </c>
      <c r="C375" t="s">
        <v>335</v>
      </c>
      <c r="D375" t="s">
        <v>14</v>
      </c>
      <c r="E375">
        <v>32</v>
      </c>
      <c r="F375" t="s">
        <v>69</v>
      </c>
      <c r="G375">
        <v>121171</v>
      </c>
      <c r="H375">
        <v>6261</v>
      </c>
      <c r="I375">
        <v>148901</v>
      </c>
      <c r="J375" t="s">
        <v>33</v>
      </c>
      <c r="K375" t="s">
        <v>24</v>
      </c>
    </row>
    <row r="376" spans="1:11" x14ac:dyDescent="0.3">
      <c r="A376" t="s">
        <v>874</v>
      </c>
      <c r="B376" t="s">
        <v>875</v>
      </c>
      <c r="C376" t="s">
        <v>876</v>
      </c>
      <c r="D376" t="s">
        <v>21</v>
      </c>
      <c r="E376">
        <v>53</v>
      </c>
      <c r="F376" t="s">
        <v>90</v>
      </c>
      <c r="G376">
        <v>478742</v>
      </c>
      <c r="H376">
        <v>51344</v>
      </c>
      <c r="I376">
        <v>125003</v>
      </c>
      <c r="J376" t="s">
        <v>23</v>
      </c>
      <c r="K376" t="s">
        <v>24</v>
      </c>
    </row>
    <row r="377" spans="1:11" x14ac:dyDescent="0.3">
      <c r="A377" t="s">
        <v>877</v>
      </c>
      <c r="B377" t="s">
        <v>878</v>
      </c>
      <c r="C377" t="s">
        <v>745</v>
      </c>
      <c r="D377" t="s">
        <v>21</v>
      </c>
      <c r="E377">
        <v>31</v>
      </c>
      <c r="G377">
        <v>396430</v>
      </c>
      <c r="H377">
        <v>82952</v>
      </c>
      <c r="I377">
        <v>97601</v>
      </c>
      <c r="J377" t="s">
        <v>33</v>
      </c>
      <c r="K377" t="s">
        <v>24</v>
      </c>
    </row>
    <row r="378" spans="1:11" x14ac:dyDescent="0.3">
      <c r="A378" t="s">
        <v>879</v>
      </c>
      <c r="B378" t="s">
        <v>61</v>
      </c>
      <c r="C378" t="s">
        <v>807</v>
      </c>
      <c r="D378" t="s">
        <v>44</v>
      </c>
      <c r="E378">
        <v>24</v>
      </c>
      <c r="F378" t="s">
        <v>69</v>
      </c>
      <c r="G378">
        <v>423701</v>
      </c>
      <c r="H378">
        <v>129181</v>
      </c>
      <c r="I378">
        <v>15001</v>
      </c>
      <c r="J378" t="s">
        <v>33</v>
      </c>
      <c r="K378" t="s">
        <v>17</v>
      </c>
    </row>
    <row r="379" spans="1:11" x14ac:dyDescent="0.3">
      <c r="A379" t="s">
        <v>880</v>
      </c>
      <c r="B379" t="s">
        <v>219</v>
      </c>
      <c r="C379" t="s">
        <v>881</v>
      </c>
      <c r="D379" t="s">
        <v>14</v>
      </c>
      <c r="E379">
        <v>27</v>
      </c>
      <c r="F379" t="s">
        <v>59</v>
      </c>
      <c r="G379">
        <v>293666</v>
      </c>
      <c r="H379">
        <v>234181</v>
      </c>
      <c r="I379">
        <v>54259</v>
      </c>
      <c r="J379" t="s">
        <v>16</v>
      </c>
      <c r="K379" t="s">
        <v>24</v>
      </c>
    </row>
    <row r="380" spans="1:11" x14ac:dyDescent="0.3">
      <c r="A380" t="s">
        <v>882</v>
      </c>
      <c r="B380" t="s">
        <v>883</v>
      </c>
      <c r="C380" t="s">
        <v>116</v>
      </c>
      <c r="D380" t="s">
        <v>14</v>
      </c>
      <c r="E380">
        <v>53</v>
      </c>
      <c r="F380" t="s">
        <v>90</v>
      </c>
      <c r="G380">
        <v>34264</v>
      </c>
      <c r="H380">
        <v>103776</v>
      </c>
      <c r="I380">
        <v>129466</v>
      </c>
      <c r="J380" t="s">
        <v>23</v>
      </c>
      <c r="K380" t="s">
        <v>17</v>
      </c>
    </row>
    <row r="381" spans="1:11" x14ac:dyDescent="0.3">
      <c r="A381" t="s">
        <v>884</v>
      </c>
      <c r="B381" t="s">
        <v>885</v>
      </c>
      <c r="C381" t="s">
        <v>886</v>
      </c>
      <c r="D381" t="s">
        <v>48</v>
      </c>
      <c r="E381">
        <v>50</v>
      </c>
      <c r="F381" t="s">
        <v>69</v>
      </c>
      <c r="G381">
        <v>160810</v>
      </c>
      <c r="H381">
        <v>268796</v>
      </c>
      <c r="I381">
        <v>145311</v>
      </c>
      <c r="J381" t="s">
        <v>23</v>
      </c>
      <c r="K381" t="s">
        <v>17</v>
      </c>
    </row>
    <row r="382" spans="1:11" x14ac:dyDescent="0.3">
      <c r="A382" t="s">
        <v>887</v>
      </c>
      <c r="B382" t="s">
        <v>395</v>
      </c>
      <c r="C382" t="s">
        <v>888</v>
      </c>
      <c r="D382" t="s">
        <v>14</v>
      </c>
      <c r="E382">
        <v>40</v>
      </c>
      <c r="F382" t="s">
        <v>32</v>
      </c>
      <c r="G382">
        <v>242668</v>
      </c>
      <c r="H382">
        <v>62828</v>
      </c>
      <c r="I382">
        <v>32923</v>
      </c>
      <c r="J382" t="s">
        <v>23</v>
      </c>
      <c r="K382" t="s">
        <v>24</v>
      </c>
    </row>
    <row r="383" spans="1:11" x14ac:dyDescent="0.3">
      <c r="A383" t="s">
        <v>889</v>
      </c>
      <c r="B383" t="s">
        <v>53</v>
      </c>
      <c r="C383" t="s">
        <v>890</v>
      </c>
      <c r="D383" t="s">
        <v>21</v>
      </c>
      <c r="E383">
        <v>56</v>
      </c>
      <c r="G383">
        <v>485185</v>
      </c>
      <c r="H383">
        <v>85717</v>
      </c>
      <c r="I383">
        <v>23583</v>
      </c>
      <c r="J383" t="s">
        <v>33</v>
      </c>
      <c r="K383" t="s">
        <v>17</v>
      </c>
    </row>
    <row r="384" spans="1:11" x14ac:dyDescent="0.3">
      <c r="A384" t="s">
        <v>891</v>
      </c>
      <c r="B384" t="s">
        <v>135</v>
      </c>
      <c r="C384" t="s">
        <v>477</v>
      </c>
      <c r="D384" t="s">
        <v>14</v>
      </c>
      <c r="E384">
        <v>24</v>
      </c>
      <c r="F384" t="s">
        <v>59</v>
      </c>
      <c r="G384">
        <v>16514</v>
      </c>
      <c r="H384">
        <v>10309</v>
      </c>
      <c r="I384">
        <v>120769</v>
      </c>
      <c r="J384" t="s">
        <v>16</v>
      </c>
      <c r="K384" t="s">
        <v>17</v>
      </c>
    </row>
    <row r="385" spans="1:11" x14ac:dyDescent="0.3">
      <c r="A385" t="s">
        <v>892</v>
      </c>
      <c r="B385" t="s">
        <v>80</v>
      </c>
      <c r="C385" t="s">
        <v>853</v>
      </c>
      <c r="D385" t="s">
        <v>14</v>
      </c>
      <c r="E385">
        <v>35</v>
      </c>
      <c r="F385" t="s">
        <v>22</v>
      </c>
      <c r="H385">
        <v>261842</v>
      </c>
      <c r="I385">
        <v>71474</v>
      </c>
      <c r="J385" t="s">
        <v>23</v>
      </c>
      <c r="K385" t="s">
        <v>24</v>
      </c>
    </row>
    <row r="386" spans="1:11" x14ac:dyDescent="0.3">
      <c r="A386" t="s">
        <v>893</v>
      </c>
      <c r="B386" t="s">
        <v>894</v>
      </c>
      <c r="C386" t="s">
        <v>895</v>
      </c>
      <c r="D386" t="s">
        <v>44</v>
      </c>
      <c r="E386">
        <v>32</v>
      </c>
      <c r="F386" t="s">
        <v>59</v>
      </c>
      <c r="G386">
        <v>337847</v>
      </c>
      <c r="H386">
        <v>194095</v>
      </c>
      <c r="I386">
        <v>21729</v>
      </c>
      <c r="J386" t="s">
        <v>23</v>
      </c>
      <c r="K386" t="s">
        <v>17</v>
      </c>
    </row>
    <row r="387" spans="1:11" x14ac:dyDescent="0.3">
      <c r="A387" t="s">
        <v>896</v>
      </c>
      <c r="B387" t="s">
        <v>796</v>
      </c>
      <c r="C387" t="s">
        <v>897</v>
      </c>
      <c r="D387" t="s">
        <v>58</v>
      </c>
      <c r="E387">
        <v>36</v>
      </c>
      <c r="G387">
        <v>129645</v>
      </c>
      <c r="H387">
        <v>272792</v>
      </c>
      <c r="I387">
        <v>118466</v>
      </c>
      <c r="J387" t="s">
        <v>16</v>
      </c>
      <c r="K387" t="s">
        <v>24</v>
      </c>
    </row>
    <row r="388" spans="1:11" x14ac:dyDescent="0.3">
      <c r="A388" t="s">
        <v>898</v>
      </c>
      <c r="B388" t="s">
        <v>488</v>
      </c>
      <c r="C388" t="s">
        <v>426</v>
      </c>
      <c r="D388" t="s">
        <v>44</v>
      </c>
      <c r="E388">
        <v>27</v>
      </c>
      <c r="F388" t="s">
        <v>59</v>
      </c>
      <c r="G388">
        <v>284215</v>
      </c>
      <c r="H388">
        <v>61252</v>
      </c>
      <c r="I388">
        <v>88259</v>
      </c>
      <c r="J388" t="s">
        <v>33</v>
      </c>
      <c r="K388" t="s">
        <v>24</v>
      </c>
    </row>
    <row r="389" spans="1:11" x14ac:dyDescent="0.3">
      <c r="A389" t="s">
        <v>899</v>
      </c>
      <c r="B389" t="s">
        <v>129</v>
      </c>
      <c r="C389" t="s">
        <v>436</v>
      </c>
      <c r="D389" t="s">
        <v>44</v>
      </c>
      <c r="E389">
        <v>58</v>
      </c>
      <c r="F389" t="s">
        <v>90</v>
      </c>
      <c r="G389">
        <v>151192</v>
      </c>
      <c r="I389">
        <v>116164</v>
      </c>
      <c r="J389" t="s">
        <v>23</v>
      </c>
      <c r="K389" t="s">
        <v>24</v>
      </c>
    </row>
    <row r="390" spans="1:11" x14ac:dyDescent="0.3">
      <c r="A390" t="s">
        <v>900</v>
      </c>
      <c r="B390" t="s">
        <v>669</v>
      </c>
      <c r="C390" t="s">
        <v>447</v>
      </c>
      <c r="D390" t="s">
        <v>58</v>
      </c>
      <c r="E390">
        <v>52</v>
      </c>
      <c r="F390" t="s">
        <v>59</v>
      </c>
      <c r="G390">
        <v>107589</v>
      </c>
      <c r="H390">
        <v>286248</v>
      </c>
      <c r="I390">
        <v>128046</v>
      </c>
      <c r="J390" t="s">
        <v>16</v>
      </c>
      <c r="K390" t="s">
        <v>24</v>
      </c>
    </row>
    <row r="391" spans="1:11" x14ac:dyDescent="0.3">
      <c r="A391" t="s">
        <v>901</v>
      </c>
      <c r="B391" t="s">
        <v>510</v>
      </c>
      <c r="C391" t="s">
        <v>145</v>
      </c>
      <c r="D391" t="s">
        <v>14</v>
      </c>
      <c r="E391">
        <v>59</v>
      </c>
      <c r="F391" t="s">
        <v>15</v>
      </c>
      <c r="G391">
        <v>208909</v>
      </c>
      <c r="I391">
        <v>68167</v>
      </c>
      <c r="J391" t="s">
        <v>23</v>
      </c>
      <c r="K391" t="s">
        <v>17</v>
      </c>
    </row>
    <row r="392" spans="1:11" x14ac:dyDescent="0.3">
      <c r="A392" t="s">
        <v>902</v>
      </c>
      <c r="B392" t="s">
        <v>340</v>
      </c>
      <c r="C392" t="s">
        <v>903</v>
      </c>
      <c r="D392" t="s">
        <v>14</v>
      </c>
      <c r="E392">
        <v>24</v>
      </c>
      <c r="F392" t="s">
        <v>69</v>
      </c>
      <c r="G392">
        <v>442105</v>
      </c>
      <c r="H392">
        <v>79060</v>
      </c>
      <c r="I392">
        <v>134649</v>
      </c>
      <c r="J392" t="s">
        <v>16</v>
      </c>
      <c r="K392" t="s">
        <v>17</v>
      </c>
    </row>
    <row r="393" spans="1:11" x14ac:dyDescent="0.3">
      <c r="A393" t="s">
        <v>904</v>
      </c>
      <c r="B393" t="s">
        <v>905</v>
      </c>
      <c r="C393" t="s">
        <v>819</v>
      </c>
      <c r="D393" t="s">
        <v>48</v>
      </c>
      <c r="E393">
        <v>27</v>
      </c>
      <c r="G393">
        <v>407361</v>
      </c>
      <c r="H393">
        <v>238892</v>
      </c>
      <c r="I393">
        <v>136584</v>
      </c>
      <c r="J393" t="s">
        <v>23</v>
      </c>
      <c r="K393" t="s">
        <v>24</v>
      </c>
    </row>
    <row r="394" spans="1:11" x14ac:dyDescent="0.3">
      <c r="A394" t="s">
        <v>906</v>
      </c>
      <c r="B394" t="s">
        <v>907</v>
      </c>
      <c r="C394" t="s">
        <v>258</v>
      </c>
      <c r="D394" t="s">
        <v>48</v>
      </c>
      <c r="E394">
        <v>34</v>
      </c>
      <c r="F394" t="s">
        <v>15</v>
      </c>
      <c r="H394">
        <v>137432</v>
      </c>
      <c r="I394">
        <v>29725</v>
      </c>
      <c r="J394" t="s">
        <v>33</v>
      </c>
      <c r="K394" t="s">
        <v>24</v>
      </c>
    </row>
    <row r="395" spans="1:11" x14ac:dyDescent="0.3">
      <c r="A395" t="s">
        <v>908</v>
      </c>
      <c r="B395" t="s">
        <v>909</v>
      </c>
      <c r="C395" t="s">
        <v>834</v>
      </c>
      <c r="D395" t="s">
        <v>58</v>
      </c>
      <c r="E395">
        <v>31</v>
      </c>
      <c r="F395" t="s">
        <v>69</v>
      </c>
      <c r="G395">
        <v>101407</v>
      </c>
      <c r="H395">
        <v>193618</v>
      </c>
      <c r="I395">
        <v>72765</v>
      </c>
      <c r="J395" t="s">
        <v>16</v>
      </c>
      <c r="K395" t="s">
        <v>17</v>
      </c>
    </row>
    <row r="396" spans="1:11" x14ac:dyDescent="0.3">
      <c r="A396" t="s">
        <v>910</v>
      </c>
      <c r="B396" t="s">
        <v>911</v>
      </c>
      <c r="C396" t="s">
        <v>912</v>
      </c>
      <c r="D396" t="s">
        <v>58</v>
      </c>
      <c r="E396">
        <v>23</v>
      </c>
      <c r="F396" t="s">
        <v>28</v>
      </c>
      <c r="G396">
        <v>192867</v>
      </c>
      <c r="H396">
        <v>263591</v>
      </c>
      <c r="I396">
        <v>78847</v>
      </c>
      <c r="J396" t="s">
        <v>33</v>
      </c>
      <c r="K396" t="s">
        <v>17</v>
      </c>
    </row>
    <row r="397" spans="1:11" x14ac:dyDescent="0.3">
      <c r="A397" t="s">
        <v>913</v>
      </c>
      <c r="B397" t="s">
        <v>294</v>
      </c>
      <c r="C397" t="s">
        <v>914</v>
      </c>
      <c r="D397" t="s">
        <v>58</v>
      </c>
      <c r="E397">
        <v>21</v>
      </c>
      <c r="F397" t="s">
        <v>90</v>
      </c>
      <c r="H397">
        <v>64002</v>
      </c>
      <c r="I397">
        <v>86639</v>
      </c>
      <c r="J397" t="s">
        <v>23</v>
      </c>
      <c r="K397" t="s">
        <v>17</v>
      </c>
    </row>
    <row r="398" spans="1:11" x14ac:dyDescent="0.3">
      <c r="A398" t="s">
        <v>915</v>
      </c>
      <c r="B398" t="s">
        <v>916</v>
      </c>
      <c r="C398" t="s">
        <v>62</v>
      </c>
      <c r="D398" t="s">
        <v>14</v>
      </c>
      <c r="E398">
        <v>48</v>
      </c>
      <c r="F398" t="s">
        <v>15</v>
      </c>
      <c r="G398">
        <v>393629</v>
      </c>
      <c r="I398">
        <v>136131</v>
      </c>
      <c r="J398" t="s">
        <v>23</v>
      </c>
      <c r="K398" t="s">
        <v>24</v>
      </c>
    </row>
    <row r="399" spans="1:11" x14ac:dyDescent="0.3">
      <c r="A399" t="s">
        <v>917</v>
      </c>
      <c r="B399" t="s">
        <v>156</v>
      </c>
      <c r="C399" t="s">
        <v>807</v>
      </c>
      <c r="D399" t="s">
        <v>14</v>
      </c>
      <c r="E399">
        <v>40</v>
      </c>
      <c r="F399" t="s">
        <v>28</v>
      </c>
      <c r="H399">
        <v>75631</v>
      </c>
      <c r="I399">
        <v>13823</v>
      </c>
      <c r="J399" t="s">
        <v>16</v>
      </c>
      <c r="K399" t="s">
        <v>24</v>
      </c>
    </row>
    <row r="400" spans="1:11" x14ac:dyDescent="0.3">
      <c r="A400" t="s">
        <v>918</v>
      </c>
      <c r="B400" t="s">
        <v>919</v>
      </c>
      <c r="C400" t="s">
        <v>920</v>
      </c>
      <c r="D400" t="s">
        <v>14</v>
      </c>
      <c r="E400">
        <v>43</v>
      </c>
      <c r="F400" t="s">
        <v>37</v>
      </c>
      <c r="G400">
        <v>399324</v>
      </c>
      <c r="H400">
        <v>77230</v>
      </c>
      <c r="I400">
        <v>104802</v>
      </c>
      <c r="J400" t="s">
        <v>16</v>
      </c>
      <c r="K400" t="s">
        <v>17</v>
      </c>
    </row>
    <row r="401" spans="1:11" x14ac:dyDescent="0.3">
      <c r="A401" t="s">
        <v>921</v>
      </c>
      <c r="B401" t="s">
        <v>124</v>
      </c>
      <c r="C401" t="s">
        <v>922</v>
      </c>
      <c r="D401" t="s">
        <v>48</v>
      </c>
      <c r="E401">
        <v>50</v>
      </c>
      <c r="F401" t="s">
        <v>37</v>
      </c>
      <c r="G401">
        <v>360643</v>
      </c>
      <c r="H401">
        <v>208355</v>
      </c>
      <c r="I401">
        <v>85285</v>
      </c>
      <c r="J401" t="s">
        <v>33</v>
      </c>
      <c r="K401" t="s">
        <v>17</v>
      </c>
    </row>
    <row r="402" spans="1:11" x14ac:dyDescent="0.3">
      <c r="A402" t="s">
        <v>923</v>
      </c>
      <c r="B402" t="s">
        <v>825</v>
      </c>
      <c r="C402" t="s">
        <v>924</v>
      </c>
      <c r="D402" t="s">
        <v>48</v>
      </c>
      <c r="E402">
        <v>43</v>
      </c>
      <c r="F402" t="s">
        <v>59</v>
      </c>
      <c r="G402">
        <v>421245</v>
      </c>
      <c r="H402">
        <v>211793</v>
      </c>
      <c r="I402">
        <v>109090</v>
      </c>
      <c r="J402" t="s">
        <v>23</v>
      </c>
      <c r="K402" t="s">
        <v>24</v>
      </c>
    </row>
    <row r="403" spans="1:11" x14ac:dyDescent="0.3">
      <c r="A403" t="s">
        <v>925</v>
      </c>
      <c r="B403" t="s">
        <v>53</v>
      </c>
      <c r="C403" t="s">
        <v>751</v>
      </c>
      <c r="D403" t="s">
        <v>14</v>
      </c>
      <c r="E403">
        <v>33</v>
      </c>
      <c r="F403" t="s">
        <v>15</v>
      </c>
      <c r="G403">
        <v>373993</v>
      </c>
      <c r="H403">
        <v>158009</v>
      </c>
      <c r="I403">
        <v>128882</v>
      </c>
      <c r="J403" t="s">
        <v>23</v>
      </c>
      <c r="K403" t="s">
        <v>17</v>
      </c>
    </row>
    <row r="404" spans="1:11" x14ac:dyDescent="0.3">
      <c r="A404" t="s">
        <v>926</v>
      </c>
      <c r="B404" t="s">
        <v>383</v>
      </c>
      <c r="C404" t="s">
        <v>927</v>
      </c>
      <c r="D404" t="s">
        <v>14</v>
      </c>
      <c r="E404">
        <v>58</v>
      </c>
      <c r="F404" t="s">
        <v>15</v>
      </c>
      <c r="G404">
        <v>282383</v>
      </c>
      <c r="H404">
        <v>105971</v>
      </c>
      <c r="I404">
        <v>135782</v>
      </c>
      <c r="J404" t="s">
        <v>16</v>
      </c>
      <c r="K404" t="s">
        <v>24</v>
      </c>
    </row>
    <row r="405" spans="1:11" x14ac:dyDescent="0.3">
      <c r="A405" t="s">
        <v>928</v>
      </c>
      <c r="B405" t="s">
        <v>116</v>
      </c>
      <c r="C405" t="s">
        <v>751</v>
      </c>
      <c r="D405" t="s">
        <v>48</v>
      </c>
      <c r="E405">
        <v>34</v>
      </c>
      <c r="F405" t="s">
        <v>37</v>
      </c>
      <c r="G405">
        <v>158930</v>
      </c>
      <c r="H405">
        <v>85027</v>
      </c>
      <c r="I405">
        <v>108391</v>
      </c>
      <c r="J405" t="s">
        <v>23</v>
      </c>
      <c r="K405" t="s">
        <v>24</v>
      </c>
    </row>
    <row r="406" spans="1:11" x14ac:dyDescent="0.3">
      <c r="A406" t="s">
        <v>929</v>
      </c>
      <c r="B406" t="s">
        <v>356</v>
      </c>
      <c r="C406" t="s">
        <v>148</v>
      </c>
      <c r="D406" t="s">
        <v>48</v>
      </c>
      <c r="E406">
        <v>59</v>
      </c>
      <c r="F406" t="s">
        <v>90</v>
      </c>
      <c r="G406">
        <v>258094</v>
      </c>
      <c r="H406">
        <v>285919</v>
      </c>
      <c r="I406">
        <v>85634</v>
      </c>
      <c r="J406" t="s">
        <v>16</v>
      </c>
      <c r="K406" t="s">
        <v>24</v>
      </c>
    </row>
    <row r="407" spans="1:11" x14ac:dyDescent="0.3">
      <c r="A407" t="s">
        <v>930</v>
      </c>
      <c r="B407" t="s">
        <v>931</v>
      </c>
      <c r="C407" t="s">
        <v>932</v>
      </c>
      <c r="D407" t="s">
        <v>21</v>
      </c>
      <c r="E407">
        <v>45</v>
      </c>
      <c r="F407" t="s">
        <v>69</v>
      </c>
      <c r="G407">
        <v>167764</v>
      </c>
      <c r="H407">
        <v>223982</v>
      </c>
      <c r="I407">
        <v>138849</v>
      </c>
      <c r="J407" t="s">
        <v>33</v>
      </c>
      <c r="K407" t="s">
        <v>24</v>
      </c>
    </row>
    <row r="408" spans="1:11" x14ac:dyDescent="0.3">
      <c r="A408" t="s">
        <v>933</v>
      </c>
      <c r="B408" t="s">
        <v>934</v>
      </c>
      <c r="C408" t="s">
        <v>935</v>
      </c>
      <c r="D408" t="s">
        <v>21</v>
      </c>
      <c r="E408">
        <v>47</v>
      </c>
      <c r="F408" t="s">
        <v>32</v>
      </c>
      <c r="G408">
        <v>363497</v>
      </c>
      <c r="I408">
        <v>138066</v>
      </c>
      <c r="J408" t="s">
        <v>16</v>
      </c>
      <c r="K408" t="s">
        <v>24</v>
      </c>
    </row>
    <row r="409" spans="1:11" x14ac:dyDescent="0.3">
      <c r="A409" t="s">
        <v>936</v>
      </c>
      <c r="B409" t="s">
        <v>937</v>
      </c>
      <c r="C409" t="s">
        <v>938</v>
      </c>
      <c r="D409" t="s">
        <v>48</v>
      </c>
      <c r="E409">
        <v>44</v>
      </c>
      <c r="F409" t="s">
        <v>22</v>
      </c>
      <c r="G409">
        <v>72208</v>
      </c>
      <c r="H409">
        <v>143371</v>
      </c>
      <c r="I409">
        <v>73110</v>
      </c>
      <c r="J409" t="s">
        <v>33</v>
      </c>
      <c r="K409" t="s">
        <v>24</v>
      </c>
    </row>
    <row r="410" spans="1:11" x14ac:dyDescent="0.3">
      <c r="A410" t="s">
        <v>939</v>
      </c>
      <c r="B410" t="s">
        <v>606</v>
      </c>
      <c r="C410" t="s">
        <v>183</v>
      </c>
      <c r="D410" t="s">
        <v>21</v>
      </c>
      <c r="E410">
        <v>46</v>
      </c>
      <c r="H410">
        <v>248838</v>
      </c>
      <c r="I410">
        <v>118491</v>
      </c>
      <c r="J410" t="s">
        <v>23</v>
      </c>
      <c r="K410" t="s">
        <v>24</v>
      </c>
    </row>
    <row r="411" spans="1:11" x14ac:dyDescent="0.3">
      <c r="A411" t="s">
        <v>940</v>
      </c>
      <c r="B411" t="s">
        <v>188</v>
      </c>
      <c r="C411" t="s">
        <v>941</v>
      </c>
      <c r="D411" t="s">
        <v>21</v>
      </c>
      <c r="E411">
        <v>30</v>
      </c>
      <c r="F411" t="s">
        <v>15</v>
      </c>
      <c r="G411">
        <v>374240</v>
      </c>
      <c r="H411">
        <v>293646</v>
      </c>
      <c r="I411">
        <v>72554</v>
      </c>
      <c r="J411" t="s">
        <v>33</v>
      </c>
      <c r="K411" t="s">
        <v>24</v>
      </c>
    </row>
    <row r="412" spans="1:11" x14ac:dyDescent="0.3">
      <c r="A412" t="s">
        <v>942</v>
      </c>
      <c r="B412" t="s">
        <v>943</v>
      </c>
      <c r="C412" t="s">
        <v>157</v>
      </c>
      <c r="D412" t="s">
        <v>44</v>
      </c>
      <c r="E412">
        <v>49</v>
      </c>
      <c r="F412" t="s">
        <v>90</v>
      </c>
      <c r="G412">
        <v>440433</v>
      </c>
      <c r="I412">
        <v>11138</v>
      </c>
      <c r="J412" t="s">
        <v>23</v>
      </c>
      <c r="K412" t="s">
        <v>24</v>
      </c>
    </row>
    <row r="413" spans="1:11" x14ac:dyDescent="0.3">
      <c r="A413" t="s">
        <v>944</v>
      </c>
      <c r="B413" t="s">
        <v>457</v>
      </c>
      <c r="C413" t="s">
        <v>89</v>
      </c>
      <c r="D413" t="s">
        <v>14</v>
      </c>
      <c r="E413">
        <v>44</v>
      </c>
      <c r="F413" t="s">
        <v>28</v>
      </c>
      <c r="H413">
        <v>91719</v>
      </c>
      <c r="I413">
        <v>97591</v>
      </c>
      <c r="J413" t="s">
        <v>16</v>
      </c>
      <c r="K413" t="s">
        <v>24</v>
      </c>
    </row>
    <row r="414" spans="1:11" x14ac:dyDescent="0.3">
      <c r="A414" t="s">
        <v>945</v>
      </c>
      <c r="B414" t="s">
        <v>98</v>
      </c>
      <c r="C414" t="s">
        <v>86</v>
      </c>
      <c r="D414" t="s">
        <v>58</v>
      </c>
      <c r="E414">
        <v>27</v>
      </c>
      <c r="F414" t="s">
        <v>69</v>
      </c>
      <c r="G414">
        <v>387597</v>
      </c>
      <c r="H414">
        <v>92401</v>
      </c>
      <c r="I414">
        <v>40679</v>
      </c>
      <c r="J414" t="s">
        <v>16</v>
      </c>
      <c r="K414" t="s">
        <v>24</v>
      </c>
    </row>
    <row r="415" spans="1:11" x14ac:dyDescent="0.3">
      <c r="A415" t="s">
        <v>946</v>
      </c>
      <c r="B415" t="s">
        <v>375</v>
      </c>
      <c r="C415" t="s">
        <v>932</v>
      </c>
      <c r="D415" t="s">
        <v>58</v>
      </c>
      <c r="E415">
        <v>28</v>
      </c>
      <c r="F415" t="s">
        <v>32</v>
      </c>
      <c r="G415">
        <v>482088</v>
      </c>
      <c r="H415">
        <v>156740</v>
      </c>
      <c r="I415">
        <v>34917</v>
      </c>
      <c r="J415" t="s">
        <v>16</v>
      </c>
      <c r="K415" t="s">
        <v>17</v>
      </c>
    </row>
    <row r="416" spans="1:11" x14ac:dyDescent="0.3">
      <c r="A416" t="s">
        <v>947</v>
      </c>
      <c r="B416" t="s">
        <v>793</v>
      </c>
      <c r="C416" t="s">
        <v>89</v>
      </c>
      <c r="D416" t="s">
        <v>58</v>
      </c>
      <c r="E416">
        <v>53</v>
      </c>
      <c r="F416" t="s">
        <v>59</v>
      </c>
      <c r="G416">
        <v>393788</v>
      </c>
      <c r="H416">
        <v>116430</v>
      </c>
      <c r="I416">
        <v>129078</v>
      </c>
      <c r="J416" t="s">
        <v>23</v>
      </c>
      <c r="K416" t="s">
        <v>24</v>
      </c>
    </row>
    <row r="417" spans="1:11" x14ac:dyDescent="0.3">
      <c r="A417" t="s">
        <v>948</v>
      </c>
      <c r="B417" t="s">
        <v>197</v>
      </c>
      <c r="C417" t="s">
        <v>83</v>
      </c>
      <c r="D417" t="s">
        <v>48</v>
      </c>
      <c r="E417">
        <v>27</v>
      </c>
      <c r="F417" t="s">
        <v>15</v>
      </c>
      <c r="G417">
        <v>490489</v>
      </c>
      <c r="H417">
        <v>82193</v>
      </c>
      <c r="I417">
        <v>129796</v>
      </c>
      <c r="J417" t="s">
        <v>16</v>
      </c>
      <c r="K417" t="s">
        <v>24</v>
      </c>
    </row>
    <row r="418" spans="1:11" x14ac:dyDescent="0.3">
      <c r="A418" t="s">
        <v>949</v>
      </c>
      <c r="B418" t="s">
        <v>469</v>
      </c>
      <c r="C418" t="s">
        <v>950</v>
      </c>
      <c r="D418" t="s">
        <v>48</v>
      </c>
      <c r="E418">
        <v>42</v>
      </c>
      <c r="G418">
        <v>457798</v>
      </c>
      <c r="H418">
        <v>108281</v>
      </c>
      <c r="I418">
        <v>44389</v>
      </c>
      <c r="J418" t="s">
        <v>33</v>
      </c>
      <c r="K418" t="s">
        <v>17</v>
      </c>
    </row>
    <row r="419" spans="1:11" x14ac:dyDescent="0.3">
      <c r="A419" t="s">
        <v>951</v>
      </c>
      <c r="B419" t="s">
        <v>952</v>
      </c>
      <c r="C419" t="s">
        <v>953</v>
      </c>
      <c r="D419" t="s">
        <v>21</v>
      </c>
      <c r="E419">
        <v>22</v>
      </c>
      <c r="F419" t="s">
        <v>28</v>
      </c>
      <c r="G419">
        <v>335021</v>
      </c>
      <c r="H419">
        <v>189636</v>
      </c>
      <c r="I419">
        <v>78592</v>
      </c>
      <c r="J419" t="s">
        <v>23</v>
      </c>
      <c r="K419" t="s">
        <v>17</v>
      </c>
    </row>
    <row r="420" spans="1:11" x14ac:dyDescent="0.3">
      <c r="A420" t="s">
        <v>954</v>
      </c>
      <c r="B420" t="s">
        <v>955</v>
      </c>
      <c r="C420" t="s">
        <v>390</v>
      </c>
      <c r="D420" t="s">
        <v>21</v>
      </c>
      <c r="F420" t="s">
        <v>90</v>
      </c>
      <c r="G420">
        <v>3120</v>
      </c>
      <c r="H420">
        <v>60865</v>
      </c>
      <c r="I420">
        <v>55781</v>
      </c>
      <c r="J420" t="s">
        <v>23</v>
      </c>
      <c r="K420" t="s">
        <v>17</v>
      </c>
    </row>
    <row r="421" spans="1:11" x14ac:dyDescent="0.3">
      <c r="A421" t="s">
        <v>956</v>
      </c>
      <c r="B421" t="s">
        <v>113</v>
      </c>
      <c r="C421" t="s">
        <v>275</v>
      </c>
      <c r="D421" t="s">
        <v>14</v>
      </c>
      <c r="E421">
        <v>51</v>
      </c>
      <c r="F421" t="s">
        <v>69</v>
      </c>
      <c r="G421">
        <v>270148</v>
      </c>
      <c r="H421">
        <v>147407</v>
      </c>
      <c r="I421">
        <v>86190</v>
      </c>
      <c r="J421" t="s">
        <v>16</v>
      </c>
      <c r="K421" t="s">
        <v>24</v>
      </c>
    </row>
    <row r="422" spans="1:11" x14ac:dyDescent="0.3">
      <c r="A422" t="s">
        <v>957</v>
      </c>
      <c r="B422" t="s">
        <v>380</v>
      </c>
      <c r="C422" t="s">
        <v>665</v>
      </c>
      <c r="D422" t="s">
        <v>58</v>
      </c>
      <c r="E422">
        <v>51</v>
      </c>
      <c r="F422" t="s">
        <v>90</v>
      </c>
      <c r="G422">
        <v>384139</v>
      </c>
      <c r="H422">
        <v>265224</v>
      </c>
      <c r="I422">
        <v>143410</v>
      </c>
      <c r="J422" t="s">
        <v>23</v>
      </c>
      <c r="K422" t="s">
        <v>17</v>
      </c>
    </row>
    <row r="423" spans="1:11" x14ac:dyDescent="0.3">
      <c r="A423" t="s">
        <v>958</v>
      </c>
      <c r="B423" t="s">
        <v>324</v>
      </c>
      <c r="C423" t="s">
        <v>959</v>
      </c>
      <c r="D423" t="s">
        <v>44</v>
      </c>
      <c r="E423">
        <v>51</v>
      </c>
      <c r="F423" t="s">
        <v>22</v>
      </c>
      <c r="G423">
        <v>156167</v>
      </c>
      <c r="H423">
        <v>122203</v>
      </c>
      <c r="I423">
        <v>89240</v>
      </c>
      <c r="J423" t="s">
        <v>16</v>
      </c>
      <c r="K423" t="s">
        <v>24</v>
      </c>
    </row>
    <row r="424" spans="1:11" x14ac:dyDescent="0.3">
      <c r="A424" t="s">
        <v>960</v>
      </c>
      <c r="B424" t="s">
        <v>961</v>
      </c>
      <c r="C424" t="s">
        <v>962</v>
      </c>
      <c r="D424" t="s">
        <v>58</v>
      </c>
      <c r="E424">
        <v>54</v>
      </c>
      <c r="F424" t="s">
        <v>32</v>
      </c>
      <c r="G424">
        <v>341982</v>
      </c>
      <c r="H424">
        <v>49399</v>
      </c>
      <c r="I424">
        <v>80710</v>
      </c>
      <c r="J424" t="s">
        <v>16</v>
      </c>
      <c r="K424" t="s">
        <v>17</v>
      </c>
    </row>
    <row r="425" spans="1:11" x14ac:dyDescent="0.3">
      <c r="A425" t="s">
        <v>963</v>
      </c>
      <c r="B425" t="s">
        <v>369</v>
      </c>
      <c r="C425" t="s">
        <v>290</v>
      </c>
      <c r="D425" t="s">
        <v>48</v>
      </c>
      <c r="E425">
        <v>54</v>
      </c>
      <c r="F425" t="s">
        <v>90</v>
      </c>
      <c r="G425">
        <v>145773</v>
      </c>
      <c r="H425">
        <v>222329</v>
      </c>
      <c r="I425">
        <v>64379</v>
      </c>
      <c r="J425" t="s">
        <v>16</v>
      </c>
      <c r="K425" t="s">
        <v>17</v>
      </c>
    </row>
    <row r="426" spans="1:11" x14ac:dyDescent="0.3">
      <c r="A426" t="s">
        <v>964</v>
      </c>
      <c r="B426" t="s">
        <v>919</v>
      </c>
      <c r="C426" t="s">
        <v>62</v>
      </c>
      <c r="D426" t="s">
        <v>58</v>
      </c>
      <c r="E426">
        <v>42</v>
      </c>
      <c r="F426" t="s">
        <v>90</v>
      </c>
      <c r="G426">
        <v>462970</v>
      </c>
      <c r="H426">
        <v>114807</v>
      </c>
      <c r="I426">
        <v>35741</v>
      </c>
      <c r="J426" t="s">
        <v>16</v>
      </c>
      <c r="K426" t="s">
        <v>17</v>
      </c>
    </row>
    <row r="427" spans="1:11" x14ac:dyDescent="0.3">
      <c r="A427" t="s">
        <v>965</v>
      </c>
      <c r="B427" t="s">
        <v>167</v>
      </c>
      <c r="C427" t="s">
        <v>93</v>
      </c>
      <c r="D427" t="s">
        <v>44</v>
      </c>
      <c r="E427">
        <v>30</v>
      </c>
      <c r="G427">
        <v>433730</v>
      </c>
      <c r="H427">
        <v>79679</v>
      </c>
      <c r="I427">
        <v>90098</v>
      </c>
      <c r="J427" t="s">
        <v>23</v>
      </c>
      <c r="K427" t="s">
        <v>24</v>
      </c>
    </row>
    <row r="428" spans="1:11" x14ac:dyDescent="0.3">
      <c r="A428" t="s">
        <v>966</v>
      </c>
      <c r="B428" t="s">
        <v>80</v>
      </c>
      <c r="C428" t="s">
        <v>431</v>
      </c>
      <c r="D428" t="s">
        <v>21</v>
      </c>
      <c r="E428">
        <v>52</v>
      </c>
      <c r="F428" t="s">
        <v>15</v>
      </c>
      <c r="G428">
        <v>244150</v>
      </c>
      <c r="H428">
        <v>95455</v>
      </c>
      <c r="I428">
        <v>131429</v>
      </c>
      <c r="J428" t="s">
        <v>33</v>
      </c>
      <c r="K428" t="s">
        <v>17</v>
      </c>
    </row>
    <row r="429" spans="1:11" x14ac:dyDescent="0.3">
      <c r="A429" t="s">
        <v>967</v>
      </c>
      <c r="B429" t="s">
        <v>113</v>
      </c>
      <c r="C429" t="s">
        <v>968</v>
      </c>
      <c r="D429" t="s">
        <v>48</v>
      </c>
      <c r="E429">
        <v>38</v>
      </c>
      <c r="G429">
        <v>26949</v>
      </c>
      <c r="H429">
        <v>113838</v>
      </c>
      <c r="I429">
        <v>10347</v>
      </c>
      <c r="J429" t="s">
        <v>33</v>
      </c>
      <c r="K429" t="s">
        <v>24</v>
      </c>
    </row>
    <row r="430" spans="1:11" x14ac:dyDescent="0.3">
      <c r="A430" t="s">
        <v>969</v>
      </c>
      <c r="B430" t="s">
        <v>317</v>
      </c>
      <c r="C430" t="s">
        <v>558</v>
      </c>
      <c r="D430" t="s">
        <v>48</v>
      </c>
      <c r="E430">
        <v>53</v>
      </c>
      <c r="F430" t="s">
        <v>90</v>
      </c>
      <c r="G430">
        <v>384132</v>
      </c>
      <c r="H430">
        <v>101988</v>
      </c>
      <c r="I430">
        <v>70297</v>
      </c>
      <c r="J430" t="s">
        <v>16</v>
      </c>
      <c r="K430" t="s">
        <v>24</v>
      </c>
    </row>
    <row r="431" spans="1:11" x14ac:dyDescent="0.3">
      <c r="A431" t="s">
        <v>970</v>
      </c>
      <c r="B431" t="s">
        <v>80</v>
      </c>
      <c r="C431" t="s">
        <v>469</v>
      </c>
      <c r="D431" t="s">
        <v>14</v>
      </c>
      <c r="E431">
        <v>28</v>
      </c>
      <c r="F431" t="s">
        <v>32</v>
      </c>
      <c r="G431">
        <v>233988</v>
      </c>
      <c r="H431">
        <v>76289</v>
      </c>
      <c r="I431">
        <v>83238</v>
      </c>
      <c r="J431" t="s">
        <v>16</v>
      </c>
      <c r="K431" t="s">
        <v>24</v>
      </c>
    </row>
    <row r="432" spans="1:11" x14ac:dyDescent="0.3">
      <c r="A432" t="s">
        <v>971</v>
      </c>
      <c r="B432" t="s">
        <v>643</v>
      </c>
      <c r="C432" t="s">
        <v>972</v>
      </c>
      <c r="D432" t="s">
        <v>21</v>
      </c>
      <c r="G432">
        <v>425750</v>
      </c>
      <c r="H432">
        <v>23446</v>
      </c>
      <c r="I432">
        <v>42723</v>
      </c>
      <c r="J432" t="s">
        <v>23</v>
      </c>
      <c r="K432" t="s">
        <v>17</v>
      </c>
    </row>
    <row r="433" spans="1:11" x14ac:dyDescent="0.3">
      <c r="A433" t="s">
        <v>973</v>
      </c>
      <c r="B433" t="s">
        <v>419</v>
      </c>
      <c r="C433" t="s">
        <v>974</v>
      </c>
      <c r="D433" t="s">
        <v>44</v>
      </c>
      <c r="E433">
        <v>54</v>
      </c>
      <c r="F433" t="s">
        <v>69</v>
      </c>
      <c r="G433">
        <v>476633</v>
      </c>
      <c r="H433">
        <v>194437</v>
      </c>
      <c r="I433">
        <v>68861</v>
      </c>
      <c r="J433" t="s">
        <v>23</v>
      </c>
      <c r="K433" t="s">
        <v>24</v>
      </c>
    </row>
    <row r="434" spans="1:11" x14ac:dyDescent="0.3">
      <c r="A434" t="s">
        <v>975</v>
      </c>
      <c r="B434" t="s">
        <v>386</v>
      </c>
      <c r="C434" t="s">
        <v>295</v>
      </c>
      <c r="D434" t="s">
        <v>21</v>
      </c>
      <c r="E434">
        <v>30</v>
      </c>
      <c r="F434" t="s">
        <v>28</v>
      </c>
      <c r="G434">
        <v>118089</v>
      </c>
      <c r="H434">
        <v>284184</v>
      </c>
      <c r="I434">
        <v>50039</v>
      </c>
      <c r="J434" t="s">
        <v>16</v>
      </c>
      <c r="K434" t="s">
        <v>24</v>
      </c>
    </row>
    <row r="435" spans="1:11" x14ac:dyDescent="0.3">
      <c r="A435" t="s">
        <v>976</v>
      </c>
      <c r="B435" t="s">
        <v>658</v>
      </c>
      <c r="C435" t="s">
        <v>977</v>
      </c>
      <c r="D435" t="s">
        <v>14</v>
      </c>
      <c r="E435">
        <v>29</v>
      </c>
      <c r="F435" t="s">
        <v>59</v>
      </c>
      <c r="G435">
        <v>498913</v>
      </c>
      <c r="H435">
        <v>201506</v>
      </c>
      <c r="I435">
        <v>61392</v>
      </c>
      <c r="J435" t="s">
        <v>33</v>
      </c>
      <c r="K435" t="s">
        <v>17</v>
      </c>
    </row>
    <row r="436" spans="1:11" x14ac:dyDescent="0.3">
      <c r="A436" t="s">
        <v>978</v>
      </c>
      <c r="B436" t="s">
        <v>613</v>
      </c>
      <c r="C436" t="s">
        <v>932</v>
      </c>
      <c r="D436" t="s">
        <v>58</v>
      </c>
      <c r="E436">
        <v>43</v>
      </c>
      <c r="F436" t="s">
        <v>22</v>
      </c>
      <c r="G436">
        <v>233107</v>
      </c>
      <c r="H436">
        <v>227289</v>
      </c>
      <c r="I436">
        <v>11533</v>
      </c>
      <c r="J436" t="s">
        <v>16</v>
      </c>
      <c r="K436" t="s">
        <v>17</v>
      </c>
    </row>
    <row r="437" spans="1:11" x14ac:dyDescent="0.3">
      <c r="A437" t="s">
        <v>979</v>
      </c>
      <c r="B437" t="s">
        <v>599</v>
      </c>
      <c r="C437" t="s">
        <v>980</v>
      </c>
      <c r="D437" t="s">
        <v>14</v>
      </c>
      <c r="E437">
        <v>30</v>
      </c>
      <c r="F437" t="s">
        <v>59</v>
      </c>
      <c r="G437">
        <v>188588</v>
      </c>
      <c r="H437">
        <v>276260</v>
      </c>
      <c r="I437">
        <v>12660</v>
      </c>
      <c r="J437" t="s">
        <v>23</v>
      </c>
      <c r="K437" t="s">
        <v>17</v>
      </c>
    </row>
    <row r="438" spans="1:11" x14ac:dyDescent="0.3">
      <c r="A438" t="s">
        <v>981</v>
      </c>
      <c r="B438" t="s">
        <v>121</v>
      </c>
      <c r="C438" t="s">
        <v>751</v>
      </c>
      <c r="D438" t="s">
        <v>14</v>
      </c>
      <c r="E438">
        <v>47</v>
      </c>
      <c r="G438">
        <v>442730</v>
      </c>
      <c r="H438">
        <v>149951</v>
      </c>
      <c r="I438">
        <v>39540</v>
      </c>
      <c r="J438" t="s">
        <v>16</v>
      </c>
      <c r="K438" t="s">
        <v>24</v>
      </c>
    </row>
    <row r="439" spans="1:11" x14ac:dyDescent="0.3">
      <c r="A439" t="s">
        <v>982</v>
      </c>
      <c r="B439" t="s">
        <v>327</v>
      </c>
      <c r="C439" t="s">
        <v>983</v>
      </c>
      <c r="D439" t="s">
        <v>21</v>
      </c>
      <c r="E439">
        <v>36</v>
      </c>
      <c r="F439" t="s">
        <v>69</v>
      </c>
      <c r="G439">
        <v>5206</v>
      </c>
      <c r="H439">
        <v>9335</v>
      </c>
      <c r="I439">
        <v>117748</v>
      </c>
      <c r="J439" t="s">
        <v>23</v>
      </c>
      <c r="K439" t="s">
        <v>17</v>
      </c>
    </row>
    <row r="440" spans="1:11" x14ac:dyDescent="0.3">
      <c r="A440" t="s">
        <v>984</v>
      </c>
      <c r="B440" t="s">
        <v>985</v>
      </c>
      <c r="C440" t="s">
        <v>986</v>
      </c>
      <c r="D440" t="s">
        <v>21</v>
      </c>
      <c r="E440">
        <v>54</v>
      </c>
      <c r="F440" t="s">
        <v>15</v>
      </c>
      <c r="G440">
        <v>467112</v>
      </c>
      <c r="H440">
        <v>123600</v>
      </c>
      <c r="I440">
        <v>10020</v>
      </c>
      <c r="J440" t="s">
        <v>23</v>
      </c>
      <c r="K440" t="s">
        <v>17</v>
      </c>
    </row>
    <row r="441" spans="1:11" x14ac:dyDescent="0.3">
      <c r="A441" t="s">
        <v>987</v>
      </c>
      <c r="B441" t="s">
        <v>796</v>
      </c>
      <c r="C441" t="s">
        <v>988</v>
      </c>
      <c r="D441" t="s">
        <v>21</v>
      </c>
      <c r="E441">
        <v>31</v>
      </c>
      <c r="F441" t="s">
        <v>37</v>
      </c>
      <c r="H441">
        <v>262289</v>
      </c>
      <c r="I441">
        <v>77480</v>
      </c>
      <c r="J441" t="s">
        <v>33</v>
      </c>
      <c r="K441" t="s">
        <v>24</v>
      </c>
    </row>
    <row r="442" spans="1:11" x14ac:dyDescent="0.3">
      <c r="A442" t="s">
        <v>989</v>
      </c>
      <c r="B442" t="s">
        <v>829</v>
      </c>
      <c r="C442" t="s">
        <v>990</v>
      </c>
      <c r="D442" t="s">
        <v>14</v>
      </c>
      <c r="E442">
        <v>31</v>
      </c>
      <c r="F442" t="s">
        <v>28</v>
      </c>
      <c r="G442">
        <v>208769</v>
      </c>
      <c r="H442">
        <v>219484</v>
      </c>
      <c r="I442">
        <v>19960</v>
      </c>
      <c r="J442" t="s">
        <v>33</v>
      </c>
      <c r="K442" t="s">
        <v>17</v>
      </c>
    </row>
    <row r="443" spans="1:11" x14ac:dyDescent="0.3">
      <c r="A443" t="s">
        <v>991</v>
      </c>
      <c r="B443" t="s">
        <v>992</v>
      </c>
      <c r="C443" t="s">
        <v>108</v>
      </c>
      <c r="D443" t="s">
        <v>48</v>
      </c>
      <c r="E443">
        <v>42</v>
      </c>
      <c r="F443" t="s">
        <v>32</v>
      </c>
      <c r="G443">
        <v>160398</v>
      </c>
      <c r="I443">
        <v>75311</v>
      </c>
      <c r="J443" t="s">
        <v>16</v>
      </c>
      <c r="K443" t="s">
        <v>24</v>
      </c>
    </row>
    <row r="444" spans="1:11" x14ac:dyDescent="0.3">
      <c r="A444" t="s">
        <v>993</v>
      </c>
      <c r="B444" t="s">
        <v>53</v>
      </c>
      <c r="C444" t="s">
        <v>256</v>
      </c>
      <c r="D444" t="s">
        <v>48</v>
      </c>
      <c r="E444">
        <v>54</v>
      </c>
      <c r="F444" t="s">
        <v>69</v>
      </c>
      <c r="G444">
        <v>353967</v>
      </c>
      <c r="H444">
        <v>197795</v>
      </c>
      <c r="I444">
        <v>36339</v>
      </c>
      <c r="J444" t="s">
        <v>16</v>
      </c>
      <c r="K444" t="s">
        <v>24</v>
      </c>
    </row>
    <row r="445" spans="1:11" x14ac:dyDescent="0.3">
      <c r="A445" t="s">
        <v>994</v>
      </c>
      <c r="B445" t="s">
        <v>135</v>
      </c>
      <c r="C445" t="s">
        <v>507</v>
      </c>
      <c r="D445" t="s">
        <v>14</v>
      </c>
      <c r="E445">
        <v>41</v>
      </c>
      <c r="F445" t="s">
        <v>37</v>
      </c>
      <c r="G445">
        <v>126073</v>
      </c>
      <c r="H445">
        <v>78410</v>
      </c>
      <c r="I445">
        <v>130308</v>
      </c>
      <c r="J445" t="s">
        <v>16</v>
      </c>
      <c r="K445" t="s">
        <v>24</v>
      </c>
    </row>
    <row r="446" spans="1:11" x14ac:dyDescent="0.3">
      <c r="A446" t="s">
        <v>995</v>
      </c>
      <c r="B446" t="s">
        <v>996</v>
      </c>
      <c r="C446" t="s">
        <v>997</v>
      </c>
      <c r="D446" t="s">
        <v>44</v>
      </c>
      <c r="E446">
        <v>40</v>
      </c>
      <c r="F446" t="s">
        <v>22</v>
      </c>
      <c r="G446">
        <v>395938</v>
      </c>
      <c r="I446">
        <v>73401</v>
      </c>
      <c r="J446" t="s">
        <v>33</v>
      </c>
      <c r="K446" t="s">
        <v>24</v>
      </c>
    </row>
    <row r="447" spans="1:11" x14ac:dyDescent="0.3">
      <c r="A447" t="s">
        <v>998</v>
      </c>
      <c r="B447" t="s">
        <v>999</v>
      </c>
      <c r="C447" t="s">
        <v>855</v>
      </c>
      <c r="D447" t="s">
        <v>58</v>
      </c>
      <c r="E447">
        <v>53</v>
      </c>
      <c r="F447" t="s">
        <v>15</v>
      </c>
      <c r="G447">
        <v>272651</v>
      </c>
      <c r="H447">
        <v>230009</v>
      </c>
      <c r="I447">
        <v>133911</v>
      </c>
      <c r="J447" t="s">
        <v>16</v>
      </c>
      <c r="K447" t="s">
        <v>17</v>
      </c>
    </row>
    <row r="448" spans="1:11" x14ac:dyDescent="0.3">
      <c r="A448" t="s">
        <v>1000</v>
      </c>
      <c r="B448" t="s">
        <v>1001</v>
      </c>
      <c r="C448" t="s">
        <v>1002</v>
      </c>
      <c r="D448" t="s">
        <v>14</v>
      </c>
      <c r="E448">
        <v>43</v>
      </c>
      <c r="F448" t="s">
        <v>69</v>
      </c>
      <c r="H448">
        <v>129394</v>
      </c>
      <c r="I448">
        <v>85604</v>
      </c>
      <c r="J448" t="s">
        <v>33</v>
      </c>
      <c r="K448" t="s">
        <v>24</v>
      </c>
    </row>
    <row r="449" spans="1:11" x14ac:dyDescent="0.3">
      <c r="A449" t="s">
        <v>1003</v>
      </c>
      <c r="B449" t="s">
        <v>610</v>
      </c>
      <c r="C449" t="s">
        <v>935</v>
      </c>
      <c r="D449" t="s">
        <v>44</v>
      </c>
      <c r="E449">
        <v>56</v>
      </c>
      <c r="F449" t="s">
        <v>32</v>
      </c>
      <c r="G449">
        <v>499118</v>
      </c>
      <c r="H449">
        <v>43309</v>
      </c>
      <c r="I449">
        <v>34957</v>
      </c>
      <c r="J449" t="s">
        <v>23</v>
      </c>
      <c r="K449" t="s">
        <v>17</v>
      </c>
    </row>
    <row r="450" spans="1:11" x14ac:dyDescent="0.3">
      <c r="A450" t="s">
        <v>1004</v>
      </c>
      <c r="B450" t="s">
        <v>217</v>
      </c>
      <c r="C450" t="s">
        <v>1005</v>
      </c>
      <c r="D450" t="s">
        <v>48</v>
      </c>
      <c r="E450">
        <v>41</v>
      </c>
      <c r="F450" t="s">
        <v>90</v>
      </c>
      <c r="G450">
        <v>200223</v>
      </c>
      <c r="H450">
        <v>17373</v>
      </c>
      <c r="I450">
        <v>106627</v>
      </c>
      <c r="J450" t="s">
        <v>23</v>
      </c>
      <c r="K450" t="s">
        <v>17</v>
      </c>
    </row>
    <row r="451" spans="1:11" x14ac:dyDescent="0.3">
      <c r="A451" t="s">
        <v>1006</v>
      </c>
      <c r="B451" t="s">
        <v>116</v>
      </c>
      <c r="C451" t="s">
        <v>1007</v>
      </c>
      <c r="D451" t="s">
        <v>44</v>
      </c>
      <c r="E451">
        <v>57</v>
      </c>
      <c r="G451">
        <v>106546</v>
      </c>
      <c r="H451">
        <v>48386</v>
      </c>
      <c r="I451">
        <v>19370</v>
      </c>
      <c r="J451" t="s">
        <v>33</v>
      </c>
      <c r="K451" t="s">
        <v>17</v>
      </c>
    </row>
    <row r="452" spans="1:11" x14ac:dyDescent="0.3">
      <c r="A452" t="s">
        <v>1008</v>
      </c>
      <c r="B452" t="s">
        <v>186</v>
      </c>
      <c r="C452" t="s">
        <v>1009</v>
      </c>
      <c r="D452" t="s">
        <v>58</v>
      </c>
      <c r="E452">
        <v>32</v>
      </c>
      <c r="F452" t="s">
        <v>59</v>
      </c>
      <c r="G452">
        <v>454929</v>
      </c>
      <c r="H452">
        <v>97274</v>
      </c>
      <c r="I452">
        <v>43181</v>
      </c>
      <c r="J452" t="s">
        <v>16</v>
      </c>
      <c r="K452" t="s">
        <v>24</v>
      </c>
    </row>
    <row r="453" spans="1:11" x14ac:dyDescent="0.3">
      <c r="A453" t="s">
        <v>1010</v>
      </c>
      <c r="B453" t="s">
        <v>343</v>
      </c>
      <c r="C453" t="s">
        <v>335</v>
      </c>
      <c r="D453" t="s">
        <v>58</v>
      </c>
      <c r="E453">
        <v>58</v>
      </c>
      <c r="F453" t="s">
        <v>69</v>
      </c>
      <c r="G453">
        <v>395891</v>
      </c>
      <c r="H453">
        <v>70291</v>
      </c>
      <c r="I453">
        <v>84711</v>
      </c>
      <c r="J453" t="s">
        <v>23</v>
      </c>
      <c r="K453" t="s">
        <v>17</v>
      </c>
    </row>
    <row r="454" spans="1:11" x14ac:dyDescent="0.3">
      <c r="A454" t="s">
        <v>1011</v>
      </c>
      <c r="B454" t="s">
        <v>934</v>
      </c>
      <c r="C454" t="s">
        <v>990</v>
      </c>
      <c r="D454" t="s">
        <v>44</v>
      </c>
      <c r="E454">
        <v>21</v>
      </c>
      <c r="H454">
        <v>100143</v>
      </c>
      <c r="I454">
        <v>89160</v>
      </c>
      <c r="J454" t="s">
        <v>16</v>
      </c>
      <c r="K454" t="s">
        <v>24</v>
      </c>
    </row>
    <row r="455" spans="1:11" x14ac:dyDescent="0.3">
      <c r="A455" t="s">
        <v>1012</v>
      </c>
      <c r="B455" t="s">
        <v>61</v>
      </c>
      <c r="C455" t="s">
        <v>67</v>
      </c>
      <c r="D455" t="s">
        <v>21</v>
      </c>
      <c r="E455">
        <v>59</v>
      </c>
      <c r="F455" t="s">
        <v>90</v>
      </c>
      <c r="G455">
        <v>338713</v>
      </c>
      <c r="H455">
        <v>122238</v>
      </c>
      <c r="I455">
        <v>94579</v>
      </c>
      <c r="J455" t="s">
        <v>23</v>
      </c>
      <c r="K455" t="s">
        <v>24</v>
      </c>
    </row>
    <row r="456" spans="1:11" x14ac:dyDescent="0.3">
      <c r="A456" t="s">
        <v>1013</v>
      </c>
      <c r="B456" t="s">
        <v>110</v>
      </c>
      <c r="C456" t="s">
        <v>119</v>
      </c>
      <c r="D456" t="s">
        <v>14</v>
      </c>
      <c r="E456">
        <v>56</v>
      </c>
      <c r="F456" t="s">
        <v>90</v>
      </c>
      <c r="G456">
        <v>345560</v>
      </c>
      <c r="H456">
        <v>285503</v>
      </c>
      <c r="I456">
        <v>144456</v>
      </c>
      <c r="J456" t="s">
        <v>23</v>
      </c>
      <c r="K456" t="s">
        <v>17</v>
      </c>
    </row>
    <row r="457" spans="1:11" x14ac:dyDescent="0.3">
      <c r="A457" t="s">
        <v>1014</v>
      </c>
      <c r="B457" t="s">
        <v>1015</v>
      </c>
      <c r="C457" t="s">
        <v>72</v>
      </c>
      <c r="D457" t="s">
        <v>21</v>
      </c>
      <c r="F457" t="s">
        <v>90</v>
      </c>
      <c r="G457">
        <v>15064</v>
      </c>
      <c r="H457">
        <v>158797</v>
      </c>
      <c r="I457">
        <v>136280</v>
      </c>
      <c r="J457" t="s">
        <v>16</v>
      </c>
      <c r="K457" t="s">
        <v>17</v>
      </c>
    </row>
    <row r="458" spans="1:11" x14ac:dyDescent="0.3">
      <c r="A458" t="s">
        <v>1016</v>
      </c>
      <c r="B458" t="s">
        <v>386</v>
      </c>
      <c r="C458" t="s">
        <v>292</v>
      </c>
      <c r="D458" t="s">
        <v>14</v>
      </c>
      <c r="E458">
        <v>23</v>
      </c>
      <c r="F458" t="s">
        <v>22</v>
      </c>
      <c r="G458">
        <v>304325</v>
      </c>
      <c r="H458">
        <v>50865</v>
      </c>
      <c r="I458">
        <v>31298</v>
      </c>
      <c r="J458" t="s">
        <v>23</v>
      </c>
      <c r="K458" t="s">
        <v>24</v>
      </c>
    </row>
    <row r="459" spans="1:11" x14ac:dyDescent="0.3">
      <c r="A459" t="s">
        <v>1017</v>
      </c>
      <c r="B459" t="s">
        <v>1018</v>
      </c>
      <c r="C459" t="s">
        <v>402</v>
      </c>
      <c r="D459" t="s">
        <v>48</v>
      </c>
      <c r="E459">
        <v>31</v>
      </c>
      <c r="F459" t="s">
        <v>69</v>
      </c>
      <c r="G459">
        <v>290901</v>
      </c>
      <c r="H459">
        <v>109376</v>
      </c>
      <c r="I459">
        <v>17465</v>
      </c>
      <c r="J459" t="s">
        <v>33</v>
      </c>
      <c r="K459" t="s">
        <v>24</v>
      </c>
    </row>
    <row r="460" spans="1:11" x14ac:dyDescent="0.3">
      <c r="A460" t="s">
        <v>1019</v>
      </c>
      <c r="B460" t="s">
        <v>713</v>
      </c>
      <c r="C460" t="s">
        <v>68</v>
      </c>
      <c r="D460" t="s">
        <v>14</v>
      </c>
      <c r="E460">
        <v>28</v>
      </c>
      <c r="F460" t="s">
        <v>59</v>
      </c>
      <c r="G460">
        <v>448148</v>
      </c>
      <c r="H460">
        <v>129472</v>
      </c>
      <c r="I460">
        <v>71159</v>
      </c>
      <c r="J460" t="s">
        <v>23</v>
      </c>
      <c r="K460" t="s">
        <v>17</v>
      </c>
    </row>
    <row r="461" spans="1:11" x14ac:dyDescent="0.3">
      <c r="A461" t="s">
        <v>1020</v>
      </c>
      <c r="B461" t="s">
        <v>135</v>
      </c>
      <c r="C461" t="s">
        <v>1021</v>
      </c>
      <c r="D461" t="s">
        <v>14</v>
      </c>
      <c r="E461">
        <v>43</v>
      </c>
      <c r="G461">
        <v>133754</v>
      </c>
      <c r="H461">
        <v>14974</v>
      </c>
      <c r="I461">
        <v>61094</v>
      </c>
      <c r="J461" t="s">
        <v>16</v>
      </c>
      <c r="K461" t="s">
        <v>17</v>
      </c>
    </row>
    <row r="462" spans="1:11" x14ac:dyDescent="0.3">
      <c r="A462" t="s">
        <v>1022</v>
      </c>
      <c r="B462" t="s">
        <v>549</v>
      </c>
      <c r="C462" t="s">
        <v>1023</v>
      </c>
      <c r="D462" t="s">
        <v>21</v>
      </c>
      <c r="E462">
        <v>39</v>
      </c>
      <c r="F462" t="s">
        <v>22</v>
      </c>
      <c r="G462">
        <v>332729</v>
      </c>
      <c r="H462">
        <v>238702</v>
      </c>
      <c r="I462">
        <v>87084</v>
      </c>
      <c r="J462" t="s">
        <v>33</v>
      </c>
      <c r="K462" t="s">
        <v>24</v>
      </c>
    </row>
    <row r="463" spans="1:11" x14ac:dyDescent="0.3">
      <c r="A463" t="s">
        <v>1024</v>
      </c>
      <c r="B463" t="s">
        <v>1025</v>
      </c>
      <c r="C463" t="s">
        <v>1026</v>
      </c>
      <c r="D463" t="s">
        <v>21</v>
      </c>
      <c r="E463">
        <v>51</v>
      </c>
      <c r="F463" t="s">
        <v>32</v>
      </c>
      <c r="G463">
        <v>10701</v>
      </c>
      <c r="H463">
        <v>112697</v>
      </c>
      <c r="I463">
        <v>50046</v>
      </c>
      <c r="J463" t="s">
        <v>23</v>
      </c>
      <c r="K463" t="s">
        <v>17</v>
      </c>
    </row>
    <row r="464" spans="1:11" x14ac:dyDescent="0.3">
      <c r="A464" t="s">
        <v>1027</v>
      </c>
      <c r="B464" t="s">
        <v>1028</v>
      </c>
      <c r="C464" t="s">
        <v>86</v>
      </c>
      <c r="D464" t="s">
        <v>14</v>
      </c>
      <c r="E464">
        <v>33</v>
      </c>
      <c r="F464" t="s">
        <v>22</v>
      </c>
      <c r="G464">
        <v>398841</v>
      </c>
      <c r="H464">
        <v>27530</v>
      </c>
      <c r="I464">
        <v>97627</v>
      </c>
      <c r="J464" t="s">
        <v>33</v>
      </c>
      <c r="K464" t="s">
        <v>24</v>
      </c>
    </row>
    <row r="465" spans="1:11" x14ac:dyDescent="0.3">
      <c r="A465" t="s">
        <v>1029</v>
      </c>
      <c r="B465" t="s">
        <v>740</v>
      </c>
      <c r="C465" t="s">
        <v>426</v>
      </c>
      <c r="D465" t="s">
        <v>48</v>
      </c>
      <c r="E465">
        <v>26</v>
      </c>
      <c r="F465" t="s">
        <v>28</v>
      </c>
      <c r="G465">
        <v>56857</v>
      </c>
      <c r="H465">
        <v>210581</v>
      </c>
      <c r="I465">
        <v>105256</v>
      </c>
      <c r="J465" t="s">
        <v>16</v>
      </c>
      <c r="K465" t="s">
        <v>24</v>
      </c>
    </row>
    <row r="466" spans="1:11" x14ac:dyDescent="0.3">
      <c r="A466" t="s">
        <v>1030</v>
      </c>
      <c r="B466" t="s">
        <v>53</v>
      </c>
      <c r="C466" t="s">
        <v>213</v>
      </c>
      <c r="D466" t="s">
        <v>14</v>
      </c>
      <c r="E466">
        <v>43</v>
      </c>
      <c r="F466" t="s">
        <v>22</v>
      </c>
      <c r="G466">
        <v>467881</v>
      </c>
      <c r="H466">
        <v>267339</v>
      </c>
      <c r="I466">
        <v>147297</v>
      </c>
      <c r="J466" t="s">
        <v>33</v>
      </c>
      <c r="K466" t="s">
        <v>24</v>
      </c>
    </row>
    <row r="467" spans="1:11" x14ac:dyDescent="0.3">
      <c r="A467" t="s">
        <v>1031</v>
      </c>
      <c r="B467" t="s">
        <v>369</v>
      </c>
      <c r="C467" t="s">
        <v>1032</v>
      </c>
      <c r="D467" t="s">
        <v>48</v>
      </c>
      <c r="E467">
        <v>35</v>
      </c>
      <c r="F467" t="s">
        <v>90</v>
      </c>
      <c r="G467">
        <v>246314</v>
      </c>
      <c r="H467">
        <v>114799</v>
      </c>
      <c r="I467">
        <v>22592</v>
      </c>
      <c r="J467" t="s">
        <v>33</v>
      </c>
      <c r="K467" t="s">
        <v>17</v>
      </c>
    </row>
    <row r="468" spans="1:11" x14ac:dyDescent="0.3">
      <c r="A468" t="s">
        <v>1033</v>
      </c>
      <c r="B468" t="s">
        <v>113</v>
      </c>
      <c r="C468" t="s">
        <v>306</v>
      </c>
      <c r="D468" t="s">
        <v>48</v>
      </c>
      <c r="E468">
        <v>56</v>
      </c>
      <c r="F468" t="s">
        <v>59</v>
      </c>
      <c r="G468">
        <v>143643</v>
      </c>
      <c r="H468">
        <v>181898</v>
      </c>
      <c r="I468">
        <v>122614</v>
      </c>
      <c r="J468" t="s">
        <v>16</v>
      </c>
      <c r="K468" t="s">
        <v>24</v>
      </c>
    </row>
    <row r="469" spans="1:11" x14ac:dyDescent="0.3">
      <c r="A469" t="s">
        <v>1034</v>
      </c>
      <c r="B469" t="s">
        <v>19</v>
      </c>
      <c r="C469" t="s">
        <v>469</v>
      </c>
      <c r="D469" t="s">
        <v>58</v>
      </c>
      <c r="E469">
        <v>33</v>
      </c>
      <c r="F469" t="s">
        <v>37</v>
      </c>
      <c r="G469">
        <v>373048</v>
      </c>
      <c r="H469">
        <v>141907</v>
      </c>
      <c r="I469">
        <v>104175</v>
      </c>
      <c r="J469" t="s">
        <v>23</v>
      </c>
      <c r="K469" t="s">
        <v>17</v>
      </c>
    </row>
    <row r="470" spans="1:11" x14ac:dyDescent="0.3">
      <c r="A470" t="s">
        <v>1035</v>
      </c>
      <c r="B470" t="s">
        <v>618</v>
      </c>
      <c r="C470" t="s">
        <v>1036</v>
      </c>
      <c r="D470" t="s">
        <v>44</v>
      </c>
      <c r="E470">
        <v>35</v>
      </c>
      <c r="F470" t="s">
        <v>15</v>
      </c>
      <c r="G470">
        <v>445327</v>
      </c>
      <c r="H470">
        <v>118601</v>
      </c>
      <c r="I470">
        <v>51461</v>
      </c>
      <c r="J470" t="s">
        <v>23</v>
      </c>
      <c r="K470" t="s">
        <v>17</v>
      </c>
    </row>
    <row r="471" spans="1:11" x14ac:dyDescent="0.3">
      <c r="A471" t="s">
        <v>1037</v>
      </c>
      <c r="B471" t="s">
        <v>61</v>
      </c>
      <c r="C471" t="s">
        <v>1038</v>
      </c>
      <c r="D471" t="s">
        <v>44</v>
      </c>
      <c r="E471">
        <v>39</v>
      </c>
      <c r="F471" t="s">
        <v>59</v>
      </c>
      <c r="G471">
        <v>22891</v>
      </c>
      <c r="H471">
        <v>189334</v>
      </c>
      <c r="I471">
        <v>67945</v>
      </c>
      <c r="J471" t="s">
        <v>16</v>
      </c>
      <c r="K471" t="s">
        <v>17</v>
      </c>
    </row>
    <row r="472" spans="1:11" x14ac:dyDescent="0.3">
      <c r="A472" t="s">
        <v>1039</v>
      </c>
      <c r="B472" t="s">
        <v>1040</v>
      </c>
      <c r="C472" t="s">
        <v>1041</v>
      </c>
      <c r="D472" t="s">
        <v>58</v>
      </c>
      <c r="E472">
        <v>23</v>
      </c>
      <c r="F472" t="s">
        <v>22</v>
      </c>
      <c r="G472">
        <v>182450</v>
      </c>
      <c r="H472">
        <v>1176</v>
      </c>
      <c r="I472">
        <v>125312</v>
      </c>
      <c r="J472" t="s">
        <v>16</v>
      </c>
      <c r="K472" t="s">
        <v>24</v>
      </c>
    </row>
    <row r="473" spans="1:11" x14ac:dyDescent="0.3">
      <c r="A473" t="s">
        <v>1042</v>
      </c>
      <c r="B473" t="s">
        <v>141</v>
      </c>
      <c r="C473" t="s">
        <v>1043</v>
      </c>
      <c r="D473" t="s">
        <v>44</v>
      </c>
      <c r="E473">
        <v>55</v>
      </c>
      <c r="F473" t="s">
        <v>32</v>
      </c>
      <c r="G473">
        <v>481429</v>
      </c>
      <c r="H473">
        <v>254158</v>
      </c>
      <c r="I473">
        <v>100605</v>
      </c>
      <c r="J473" t="s">
        <v>23</v>
      </c>
      <c r="K473" t="s">
        <v>24</v>
      </c>
    </row>
    <row r="474" spans="1:11" x14ac:dyDescent="0.3">
      <c r="A474" t="s">
        <v>1044</v>
      </c>
      <c r="B474" t="s">
        <v>47</v>
      </c>
      <c r="C474" t="s">
        <v>1045</v>
      </c>
      <c r="D474" t="s">
        <v>21</v>
      </c>
      <c r="E474">
        <v>56</v>
      </c>
      <c r="F474" t="s">
        <v>28</v>
      </c>
      <c r="G474">
        <v>90277</v>
      </c>
      <c r="H474">
        <v>138782</v>
      </c>
      <c r="I474">
        <v>60120</v>
      </c>
      <c r="J474" t="s">
        <v>23</v>
      </c>
      <c r="K474" t="s">
        <v>17</v>
      </c>
    </row>
    <row r="475" spans="1:11" x14ac:dyDescent="0.3">
      <c r="A475" t="s">
        <v>1046</v>
      </c>
      <c r="B475" t="s">
        <v>610</v>
      </c>
      <c r="C475" t="s">
        <v>207</v>
      </c>
      <c r="D475" t="s">
        <v>14</v>
      </c>
      <c r="E475">
        <v>38</v>
      </c>
      <c r="F475" t="s">
        <v>22</v>
      </c>
      <c r="G475">
        <v>22088</v>
      </c>
      <c r="H475">
        <v>272924</v>
      </c>
      <c r="I475">
        <v>52782</v>
      </c>
      <c r="J475" t="s">
        <v>16</v>
      </c>
      <c r="K475" t="s">
        <v>24</v>
      </c>
    </row>
    <row r="476" spans="1:11" x14ac:dyDescent="0.3">
      <c r="A476" t="s">
        <v>1047</v>
      </c>
      <c r="B476" t="s">
        <v>219</v>
      </c>
      <c r="C476" t="s">
        <v>1048</v>
      </c>
      <c r="D476" t="s">
        <v>44</v>
      </c>
      <c r="E476">
        <v>35</v>
      </c>
      <c r="F476" t="s">
        <v>32</v>
      </c>
      <c r="G476">
        <v>352953</v>
      </c>
      <c r="H476">
        <v>25026</v>
      </c>
      <c r="I476">
        <v>93067</v>
      </c>
      <c r="J476" t="s">
        <v>23</v>
      </c>
      <c r="K476" t="s">
        <v>17</v>
      </c>
    </row>
    <row r="477" spans="1:11" x14ac:dyDescent="0.3">
      <c r="A477" t="s">
        <v>1049</v>
      </c>
      <c r="B477" t="s">
        <v>1050</v>
      </c>
      <c r="C477" t="s">
        <v>295</v>
      </c>
      <c r="D477" t="s">
        <v>58</v>
      </c>
      <c r="E477">
        <v>56</v>
      </c>
      <c r="F477" t="s">
        <v>15</v>
      </c>
      <c r="G477">
        <v>443325</v>
      </c>
      <c r="H477">
        <v>25262</v>
      </c>
      <c r="I477">
        <v>125150</v>
      </c>
      <c r="J477" t="s">
        <v>23</v>
      </c>
      <c r="K477" t="s">
        <v>17</v>
      </c>
    </row>
    <row r="478" spans="1:11" x14ac:dyDescent="0.3">
      <c r="A478" t="s">
        <v>1051</v>
      </c>
      <c r="B478" t="s">
        <v>1052</v>
      </c>
      <c r="C478" t="s">
        <v>1053</v>
      </c>
      <c r="D478" t="s">
        <v>21</v>
      </c>
      <c r="E478">
        <v>39</v>
      </c>
      <c r="F478" t="s">
        <v>59</v>
      </c>
      <c r="G478">
        <v>77547</v>
      </c>
      <c r="H478">
        <v>31211</v>
      </c>
      <c r="I478">
        <v>76434</v>
      </c>
      <c r="J478" t="s">
        <v>16</v>
      </c>
      <c r="K478" t="s">
        <v>24</v>
      </c>
    </row>
    <row r="479" spans="1:11" x14ac:dyDescent="0.3">
      <c r="A479" t="s">
        <v>1054</v>
      </c>
      <c r="B479" t="s">
        <v>19</v>
      </c>
      <c r="C479" t="s">
        <v>1055</v>
      </c>
      <c r="D479" t="s">
        <v>21</v>
      </c>
      <c r="E479">
        <v>51</v>
      </c>
      <c r="F479" t="s">
        <v>15</v>
      </c>
      <c r="G479">
        <v>15848</v>
      </c>
      <c r="H479">
        <v>287227</v>
      </c>
      <c r="I479">
        <v>60185</v>
      </c>
      <c r="J479" t="s">
        <v>33</v>
      </c>
      <c r="K479" t="s">
        <v>17</v>
      </c>
    </row>
    <row r="480" spans="1:11" x14ac:dyDescent="0.3">
      <c r="A480" t="s">
        <v>1056</v>
      </c>
      <c r="B480" t="s">
        <v>1057</v>
      </c>
      <c r="C480" t="s">
        <v>47</v>
      </c>
      <c r="D480" t="s">
        <v>44</v>
      </c>
      <c r="E480">
        <v>55</v>
      </c>
      <c r="F480" t="s">
        <v>69</v>
      </c>
      <c r="G480">
        <v>348155</v>
      </c>
      <c r="I480">
        <v>131143</v>
      </c>
      <c r="J480" t="s">
        <v>16</v>
      </c>
      <c r="K480" t="s">
        <v>17</v>
      </c>
    </row>
    <row r="481" spans="1:11" x14ac:dyDescent="0.3">
      <c r="A481" t="s">
        <v>1058</v>
      </c>
      <c r="B481" t="s">
        <v>1059</v>
      </c>
      <c r="C481" t="s">
        <v>1060</v>
      </c>
      <c r="D481" t="s">
        <v>58</v>
      </c>
      <c r="E481">
        <v>40</v>
      </c>
      <c r="F481" t="s">
        <v>15</v>
      </c>
      <c r="G481">
        <v>175382</v>
      </c>
      <c r="H481">
        <v>13905</v>
      </c>
      <c r="I481">
        <v>142445</v>
      </c>
      <c r="J481" t="s">
        <v>16</v>
      </c>
      <c r="K481" t="s">
        <v>24</v>
      </c>
    </row>
    <row r="482" spans="1:11" x14ac:dyDescent="0.3">
      <c r="A482" t="s">
        <v>1061</v>
      </c>
      <c r="B482" t="s">
        <v>825</v>
      </c>
      <c r="C482" t="s">
        <v>1062</v>
      </c>
      <c r="D482" t="s">
        <v>21</v>
      </c>
      <c r="E482">
        <v>49</v>
      </c>
      <c r="F482" t="s">
        <v>69</v>
      </c>
      <c r="G482">
        <v>50264</v>
      </c>
      <c r="H482">
        <v>205756</v>
      </c>
      <c r="I482">
        <v>13873</v>
      </c>
      <c r="J482" t="s">
        <v>33</v>
      </c>
      <c r="K482" t="s">
        <v>17</v>
      </c>
    </row>
    <row r="483" spans="1:11" x14ac:dyDescent="0.3">
      <c r="A483" t="s">
        <v>1063</v>
      </c>
      <c r="B483" t="s">
        <v>985</v>
      </c>
      <c r="C483" t="s">
        <v>469</v>
      </c>
      <c r="D483" t="s">
        <v>44</v>
      </c>
      <c r="E483">
        <v>37</v>
      </c>
      <c r="G483">
        <v>327679</v>
      </c>
      <c r="H483">
        <v>65689</v>
      </c>
      <c r="I483">
        <v>128144</v>
      </c>
      <c r="J483" t="s">
        <v>16</v>
      </c>
      <c r="K483" t="s">
        <v>24</v>
      </c>
    </row>
    <row r="484" spans="1:11" x14ac:dyDescent="0.3">
      <c r="A484" t="s">
        <v>1064</v>
      </c>
      <c r="B484" t="s">
        <v>961</v>
      </c>
      <c r="C484" t="s">
        <v>225</v>
      </c>
      <c r="D484" t="s">
        <v>44</v>
      </c>
      <c r="E484">
        <v>50</v>
      </c>
      <c r="F484" t="s">
        <v>15</v>
      </c>
      <c r="H484">
        <v>215259</v>
      </c>
      <c r="I484">
        <v>138761</v>
      </c>
      <c r="J484" t="s">
        <v>23</v>
      </c>
      <c r="K484" t="s">
        <v>17</v>
      </c>
    </row>
    <row r="485" spans="1:11" x14ac:dyDescent="0.3">
      <c r="A485" t="s">
        <v>1065</v>
      </c>
      <c r="B485" t="s">
        <v>866</v>
      </c>
      <c r="C485" t="s">
        <v>62</v>
      </c>
      <c r="D485" t="s">
        <v>14</v>
      </c>
      <c r="E485">
        <v>28</v>
      </c>
      <c r="F485" t="s">
        <v>28</v>
      </c>
      <c r="G485">
        <v>128881</v>
      </c>
      <c r="H485">
        <v>16614</v>
      </c>
      <c r="I485">
        <v>45745</v>
      </c>
      <c r="J485" t="s">
        <v>16</v>
      </c>
      <c r="K485" t="s">
        <v>24</v>
      </c>
    </row>
    <row r="486" spans="1:11" x14ac:dyDescent="0.3">
      <c r="A486" t="s">
        <v>1066</v>
      </c>
      <c r="B486" t="s">
        <v>485</v>
      </c>
      <c r="C486" t="s">
        <v>207</v>
      </c>
      <c r="D486" t="s">
        <v>48</v>
      </c>
      <c r="E486">
        <v>46</v>
      </c>
      <c r="F486" t="s">
        <v>90</v>
      </c>
      <c r="G486">
        <v>211351</v>
      </c>
      <c r="H486">
        <v>164299</v>
      </c>
      <c r="I486">
        <v>110646</v>
      </c>
      <c r="J486" t="s">
        <v>23</v>
      </c>
      <c r="K486" t="s">
        <v>17</v>
      </c>
    </row>
    <row r="487" spans="1:11" x14ac:dyDescent="0.3">
      <c r="A487" t="s">
        <v>1067</v>
      </c>
      <c r="B487" t="s">
        <v>188</v>
      </c>
      <c r="C487" t="s">
        <v>751</v>
      </c>
      <c r="D487" t="s">
        <v>44</v>
      </c>
      <c r="E487">
        <v>45</v>
      </c>
      <c r="F487" t="s">
        <v>59</v>
      </c>
      <c r="G487">
        <v>16072</v>
      </c>
      <c r="H487">
        <v>143767</v>
      </c>
      <c r="I487">
        <v>50473</v>
      </c>
      <c r="J487" t="s">
        <v>23</v>
      </c>
      <c r="K487" t="s">
        <v>24</v>
      </c>
    </row>
    <row r="488" spans="1:11" x14ac:dyDescent="0.3">
      <c r="A488" t="s">
        <v>1068</v>
      </c>
      <c r="B488" t="s">
        <v>284</v>
      </c>
      <c r="C488" t="s">
        <v>1069</v>
      </c>
      <c r="D488" t="s">
        <v>44</v>
      </c>
      <c r="E488">
        <v>55</v>
      </c>
      <c r="F488" t="s">
        <v>22</v>
      </c>
      <c r="H488">
        <v>254674</v>
      </c>
      <c r="I488">
        <v>122760</v>
      </c>
      <c r="J488" t="s">
        <v>16</v>
      </c>
      <c r="K488" t="s">
        <v>17</v>
      </c>
    </row>
    <row r="489" spans="1:11" x14ac:dyDescent="0.3">
      <c r="A489" t="s">
        <v>1070</v>
      </c>
      <c r="B489" t="s">
        <v>386</v>
      </c>
      <c r="C489" t="s">
        <v>13</v>
      </c>
      <c r="D489" t="s">
        <v>44</v>
      </c>
      <c r="E489">
        <v>23</v>
      </c>
      <c r="F489" t="s">
        <v>90</v>
      </c>
      <c r="G489">
        <v>40577</v>
      </c>
      <c r="H489">
        <v>132237</v>
      </c>
      <c r="I489">
        <v>106196</v>
      </c>
      <c r="J489" t="s">
        <v>33</v>
      </c>
      <c r="K489" t="s">
        <v>24</v>
      </c>
    </row>
    <row r="490" spans="1:11" x14ac:dyDescent="0.3">
      <c r="A490" t="s">
        <v>1071</v>
      </c>
      <c r="B490" t="s">
        <v>124</v>
      </c>
      <c r="C490" t="s">
        <v>309</v>
      </c>
      <c r="D490" t="s">
        <v>44</v>
      </c>
      <c r="E490">
        <v>30</v>
      </c>
      <c r="F490" t="s">
        <v>22</v>
      </c>
      <c r="G490">
        <v>9829</v>
      </c>
      <c r="H490">
        <v>230757</v>
      </c>
      <c r="I490">
        <v>50052</v>
      </c>
      <c r="J490" t="s">
        <v>16</v>
      </c>
      <c r="K490" t="s">
        <v>24</v>
      </c>
    </row>
    <row r="491" spans="1:11" x14ac:dyDescent="0.3">
      <c r="A491" t="s">
        <v>1072</v>
      </c>
      <c r="B491" t="s">
        <v>126</v>
      </c>
      <c r="C491" t="s">
        <v>174</v>
      </c>
      <c r="D491" t="s">
        <v>14</v>
      </c>
      <c r="E491">
        <v>24</v>
      </c>
      <c r="G491">
        <v>162800</v>
      </c>
      <c r="H491">
        <v>272010</v>
      </c>
      <c r="I491">
        <v>110585</v>
      </c>
      <c r="J491" t="s">
        <v>16</v>
      </c>
      <c r="K491" t="s">
        <v>24</v>
      </c>
    </row>
    <row r="492" spans="1:11" x14ac:dyDescent="0.3">
      <c r="A492" t="s">
        <v>1073</v>
      </c>
      <c r="B492" t="s">
        <v>724</v>
      </c>
      <c r="C492" t="s">
        <v>585</v>
      </c>
      <c r="D492" t="s">
        <v>44</v>
      </c>
      <c r="E492">
        <v>24</v>
      </c>
      <c r="F492" t="s">
        <v>32</v>
      </c>
      <c r="G492">
        <v>313926</v>
      </c>
      <c r="H492">
        <v>166897</v>
      </c>
      <c r="I492">
        <v>41928</v>
      </c>
      <c r="J492" t="s">
        <v>33</v>
      </c>
      <c r="K492" t="s">
        <v>17</v>
      </c>
    </row>
    <row r="493" spans="1:11" x14ac:dyDescent="0.3">
      <c r="A493" t="s">
        <v>1074</v>
      </c>
      <c r="B493" t="s">
        <v>39</v>
      </c>
      <c r="C493" t="s">
        <v>545</v>
      </c>
      <c r="D493" t="s">
        <v>58</v>
      </c>
      <c r="E493">
        <v>42</v>
      </c>
      <c r="F493" t="s">
        <v>37</v>
      </c>
      <c r="H493">
        <v>277765</v>
      </c>
      <c r="I493">
        <v>84094</v>
      </c>
      <c r="J493" t="s">
        <v>16</v>
      </c>
      <c r="K493" t="s">
        <v>24</v>
      </c>
    </row>
    <row r="494" spans="1:11" x14ac:dyDescent="0.3">
      <c r="A494" t="s">
        <v>1075</v>
      </c>
      <c r="B494" t="s">
        <v>821</v>
      </c>
      <c r="C494" t="s">
        <v>1076</v>
      </c>
      <c r="D494" t="s">
        <v>14</v>
      </c>
      <c r="E494">
        <v>57</v>
      </c>
      <c r="G494">
        <v>294041</v>
      </c>
      <c r="H494">
        <v>43402</v>
      </c>
      <c r="I494">
        <v>83863</v>
      </c>
      <c r="J494" t="s">
        <v>23</v>
      </c>
      <c r="K494" t="s">
        <v>17</v>
      </c>
    </row>
    <row r="495" spans="1:11" x14ac:dyDescent="0.3">
      <c r="A495" t="s">
        <v>1077</v>
      </c>
      <c r="B495" t="s">
        <v>47</v>
      </c>
      <c r="C495" t="s">
        <v>758</v>
      </c>
      <c r="D495" t="s">
        <v>44</v>
      </c>
      <c r="F495" t="s">
        <v>32</v>
      </c>
      <c r="G495">
        <v>221227</v>
      </c>
      <c r="H495">
        <v>247153</v>
      </c>
      <c r="I495">
        <v>25622</v>
      </c>
      <c r="J495" t="s">
        <v>16</v>
      </c>
      <c r="K495" t="s">
        <v>17</v>
      </c>
    </row>
    <row r="496" spans="1:11" x14ac:dyDescent="0.3">
      <c r="A496" t="s">
        <v>1078</v>
      </c>
      <c r="B496" t="s">
        <v>74</v>
      </c>
      <c r="C496" t="s">
        <v>93</v>
      </c>
      <c r="D496" t="s">
        <v>14</v>
      </c>
      <c r="E496">
        <v>52</v>
      </c>
      <c r="F496" t="s">
        <v>69</v>
      </c>
      <c r="G496">
        <v>424158</v>
      </c>
      <c r="H496">
        <v>98478</v>
      </c>
      <c r="I496">
        <v>43844</v>
      </c>
      <c r="J496" t="s">
        <v>33</v>
      </c>
      <c r="K496" t="s">
        <v>17</v>
      </c>
    </row>
    <row r="497" spans="1:11" x14ac:dyDescent="0.3">
      <c r="A497" t="s">
        <v>1079</v>
      </c>
      <c r="B497" t="s">
        <v>1080</v>
      </c>
      <c r="C497" t="s">
        <v>1081</v>
      </c>
      <c r="D497" t="s">
        <v>21</v>
      </c>
      <c r="E497">
        <v>40</v>
      </c>
      <c r="F497" t="s">
        <v>37</v>
      </c>
      <c r="G497">
        <v>298743</v>
      </c>
      <c r="H497">
        <v>223734</v>
      </c>
      <c r="I497">
        <v>61461</v>
      </c>
      <c r="J497" t="s">
        <v>33</v>
      </c>
      <c r="K497" t="s">
        <v>17</v>
      </c>
    </row>
    <row r="498" spans="1:11" x14ac:dyDescent="0.3">
      <c r="A498" t="s">
        <v>1082</v>
      </c>
      <c r="B498" t="s">
        <v>386</v>
      </c>
      <c r="C498" t="s">
        <v>295</v>
      </c>
      <c r="D498" t="s">
        <v>48</v>
      </c>
      <c r="E498">
        <v>50</v>
      </c>
      <c r="F498" t="s">
        <v>59</v>
      </c>
      <c r="G498">
        <v>296051</v>
      </c>
      <c r="H498">
        <v>10317</v>
      </c>
      <c r="I498">
        <v>147644</v>
      </c>
      <c r="J498" t="s">
        <v>23</v>
      </c>
      <c r="K498" t="s">
        <v>17</v>
      </c>
    </row>
    <row r="499" spans="1:11" x14ac:dyDescent="0.3">
      <c r="A499" t="s">
        <v>1083</v>
      </c>
      <c r="B499" t="s">
        <v>1084</v>
      </c>
      <c r="C499" t="s">
        <v>990</v>
      </c>
      <c r="D499" t="s">
        <v>21</v>
      </c>
      <c r="E499">
        <v>41</v>
      </c>
      <c r="F499" t="s">
        <v>15</v>
      </c>
      <c r="G499">
        <v>489565</v>
      </c>
      <c r="H499">
        <v>234375</v>
      </c>
      <c r="I499">
        <v>119060</v>
      </c>
      <c r="J499" t="s">
        <v>33</v>
      </c>
      <c r="K499" t="s">
        <v>24</v>
      </c>
    </row>
    <row r="500" spans="1:11" x14ac:dyDescent="0.3">
      <c r="A500" t="s">
        <v>1085</v>
      </c>
      <c r="B500" t="s">
        <v>669</v>
      </c>
      <c r="C500" t="s">
        <v>1086</v>
      </c>
      <c r="D500" t="s">
        <v>14</v>
      </c>
      <c r="E500">
        <v>21</v>
      </c>
      <c r="F500" t="s">
        <v>28</v>
      </c>
      <c r="G500">
        <v>76979</v>
      </c>
      <c r="H500">
        <v>9941</v>
      </c>
      <c r="I500">
        <v>110198</v>
      </c>
      <c r="J500" t="s">
        <v>33</v>
      </c>
      <c r="K500" t="s">
        <v>17</v>
      </c>
    </row>
    <row r="501" spans="1:11" x14ac:dyDescent="0.3">
      <c r="A501" t="s">
        <v>1087</v>
      </c>
      <c r="B501" t="s">
        <v>1088</v>
      </c>
      <c r="C501" t="s">
        <v>1089</v>
      </c>
      <c r="D501" t="s">
        <v>48</v>
      </c>
      <c r="F501" t="s">
        <v>69</v>
      </c>
      <c r="G501">
        <v>158248</v>
      </c>
      <c r="H501">
        <v>128450</v>
      </c>
      <c r="I501">
        <v>131864</v>
      </c>
      <c r="J501" t="s">
        <v>23</v>
      </c>
      <c r="K5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88D5-E574-4A3B-8720-AD7CFB529019}">
  <dimension ref="A1:P501"/>
  <sheetViews>
    <sheetView workbookViewId="0">
      <selection activeCell="B3" sqref="B3"/>
    </sheetView>
  </sheetViews>
  <sheetFormatPr defaultRowHeight="14.4" x14ac:dyDescent="0.3"/>
  <cols>
    <col min="1" max="2" width="13.77734375" customWidth="1"/>
    <col min="3" max="3" width="11.77734375" customWidth="1"/>
    <col min="4" max="4" width="11.6640625" customWidth="1"/>
    <col min="9" max="9" width="9" customWidth="1"/>
    <col min="10" max="10" width="17.5546875" bestFit="1" customWidth="1"/>
    <col min="11" max="12" width="16.88671875" customWidth="1"/>
    <col min="13" max="13" width="14.33203125" customWidth="1"/>
    <col min="14" max="14" width="16.88671875" customWidth="1"/>
    <col min="15" max="15" width="14.44140625" customWidth="1"/>
  </cols>
  <sheetData>
    <row r="1" spans="1:16" x14ac:dyDescent="0.3">
      <c r="A1" t="s">
        <v>0</v>
      </c>
      <c r="B1" t="s">
        <v>1092</v>
      </c>
      <c r="C1" s="1" t="s">
        <v>1</v>
      </c>
      <c r="D1" s="1" t="s">
        <v>2</v>
      </c>
      <c r="E1" t="s">
        <v>3</v>
      </c>
      <c r="F1" t="s">
        <v>4</v>
      </c>
      <c r="G1" s="1" t="s">
        <v>1090</v>
      </c>
      <c r="H1" t="s">
        <v>5</v>
      </c>
      <c r="I1" s="1" t="s">
        <v>1091</v>
      </c>
      <c r="J1" t="s">
        <v>6</v>
      </c>
      <c r="K1" s="1" t="s">
        <v>1593</v>
      </c>
      <c r="L1" t="s">
        <v>7</v>
      </c>
      <c r="M1" s="1" t="s">
        <v>1093</v>
      </c>
      <c r="N1" t="s">
        <v>8</v>
      </c>
      <c r="O1" t="s">
        <v>9</v>
      </c>
      <c r="P1" t="s">
        <v>10</v>
      </c>
    </row>
    <row r="2" spans="1:16" x14ac:dyDescent="0.3">
      <c r="A2" t="s">
        <v>11</v>
      </c>
      <c r="B2" t="str">
        <f>CONCATENATE(Table1[[#This Row],[First Name]]," ",Table1[[#This Row],[Last Name]])</f>
        <v>Ellen Young</v>
      </c>
      <c r="C2" t="s">
        <v>12</v>
      </c>
      <c r="D2" t="s">
        <v>13</v>
      </c>
      <c r="E2" t="s">
        <v>14</v>
      </c>
      <c r="F2">
        <f t="shared" ref="F2:F33" si="0">IF(G2="", AVERAGE($G$2:$G$501),G2)</f>
        <v>27</v>
      </c>
      <c r="G2">
        <v>27</v>
      </c>
      <c r="H2" t="str">
        <f t="shared" ref="H2:H65" si="1">IF(I2="","Unknown",I2)</f>
        <v>Female</v>
      </c>
      <c r="I2" t="s">
        <v>22</v>
      </c>
      <c r="J2">
        <f>IF(K2="",AVERAGE($K$2:$K$501),K2)</f>
        <v>173251</v>
      </c>
      <c r="K2">
        <v>173251</v>
      </c>
      <c r="L2">
        <f>IF(M2="",AVERAGEIF($F$2:$F$501,F2,$M$2:$M$501),M2)</f>
        <v>201954</v>
      </c>
      <c r="M2">
        <v>201954</v>
      </c>
      <c r="N2">
        <v>60097</v>
      </c>
      <c r="O2" t="s">
        <v>16</v>
      </c>
      <c r="P2" t="s">
        <v>17</v>
      </c>
    </row>
    <row r="3" spans="1:16" x14ac:dyDescent="0.3">
      <c r="A3" t="s">
        <v>18</v>
      </c>
      <c r="B3" t="str">
        <f>CONCATENATE(Table1[[#This Row],[First Name]]," ",Table1[[#This Row],[Last Name]])</f>
        <v>Mark Watson</v>
      </c>
      <c r="C3" t="s">
        <v>19</v>
      </c>
      <c r="D3" t="s">
        <v>20</v>
      </c>
      <c r="E3" t="s">
        <v>21</v>
      </c>
      <c r="F3">
        <f t="shared" si="0"/>
        <v>22</v>
      </c>
      <c r="G3">
        <v>22</v>
      </c>
      <c r="H3" t="str">
        <f t="shared" si="1"/>
        <v>Female</v>
      </c>
      <c r="I3" t="s">
        <v>22</v>
      </c>
      <c r="J3">
        <f t="shared" ref="J3:J65" si="2">IF(K3="",AVERAGE($K$2:$K$501),K3)</f>
        <v>290970</v>
      </c>
      <c r="K3">
        <v>290970</v>
      </c>
      <c r="L3">
        <f t="shared" ref="L3:L65" si="3">IF(M3="",AVERAGEIF($F$2:$F$501,F3,$M$2:$M$501),M3)</f>
        <v>230892</v>
      </c>
      <c r="M3">
        <v>230892</v>
      </c>
      <c r="N3">
        <v>84539</v>
      </c>
      <c r="O3" t="s">
        <v>23</v>
      </c>
      <c r="P3" t="s">
        <v>24</v>
      </c>
    </row>
    <row r="4" spans="1:16" x14ac:dyDescent="0.3">
      <c r="A4" t="s">
        <v>25</v>
      </c>
      <c r="B4" t="str">
        <f>CONCATENATE(Table1[[#This Row],[First Name]]," ",Table1[[#This Row],[Last Name]])</f>
        <v>Jennifer Daniels</v>
      </c>
      <c r="C4" t="s">
        <v>26</v>
      </c>
      <c r="D4" t="s">
        <v>27</v>
      </c>
      <c r="E4" t="s">
        <v>21</v>
      </c>
      <c r="F4">
        <f t="shared" si="0"/>
        <v>59</v>
      </c>
      <c r="G4">
        <v>59</v>
      </c>
      <c r="H4" t="str">
        <f t="shared" si="1"/>
        <v>Male</v>
      </c>
      <c r="I4" t="s">
        <v>59</v>
      </c>
      <c r="J4">
        <f t="shared" si="2"/>
        <v>154393</v>
      </c>
      <c r="K4">
        <v>154393</v>
      </c>
      <c r="L4">
        <f t="shared" si="3"/>
        <v>46687</v>
      </c>
      <c r="M4">
        <v>46687</v>
      </c>
      <c r="N4">
        <v>129825</v>
      </c>
      <c r="O4" t="s">
        <v>23</v>
      </c>
      <c r="P4" t="s">
        <v>17</v>
      </c>
    </row>
    <row r="5" spans="1:16" x14ac:dyDescent="0.3">
      <c r="A5" t="s">
        <v>29</v>
      </c>
      <c r="B5" t="str">
        <f>CONCATENATE(Table1[[#This Row],[First Name]]," ",Table1[[#This Row],[Last Name]])</f>
        <v>Karen Jordan</v>
      </c>
      <c r="C5" t="s">
        <v>30</v>
      </c>
      <c r="D5" t="s">
        <v>31</v>
      </c>
      <c r="E5" t="s">
        <v>21</v>
      </c>
      <c r="F5">
        <f t="shared" si="0"/>
        <v>53</v>
      </c>
      <c r="G5">
        <v>53</v>
      </c>
      <c r="H5" t="str">
        <f t="shared" si="1"/>
        <v>Male</v>
      </c>
      <c r="I5" t="s">
        <v>59</v>
      </c>
      <c r="J5">
        <f t="shared" si="2"/>
        <v>407998</v>
      </c>
      <c r="K5">
        <v>407998</v>
      </c>
      <c r="L5">
        <f t="shared" si="3"/>
        <v>229123</v>
      </c>
      <c r="M5">
        <v>229123</v>
      </c>
      <c r="N5">
        <v>33489</v>
      </c>
      <c r="O5" t="s">
        <v>33</v>
      </c>
      <c r="P5" t="s">
        <v>24</v>
      </c>
    </row>
    <row r="6" spans="1:16" x14ac:dyDescent="0.3">
      <c r="A6" t="s">
        <v>34</v>
      </c>
      <c r="B6" t="str">
        <f>CONCATENATE(Table1[[#This Row],[First Name]]," ",Table1[[#This Row],[Last Name]])</f>
        <v>Ryan Ford</v>
      </c>
      <c r="C6" t="s">
        <v>35</v>
      </c>
      <c r="D6" t="s">
        <v>36</v>
      </c>
      <c r="E6" t="s">
        <v>14</v>
      </c>
      <c r="F6">
        <f t="shared" si="0"/>
        <v>48</v>
      </c>
      <c r="G6">
        <v>48</v>
      </c>
      <c r="H6" t="str">
        <f t="shared" si="1"/>
        <v>Female</v>
      </c>
      <c r="I6" t="s">
        <v>22</v>
      </c>
      <c r="J6" s="2">
        <f t="shared" si="2"/>
        <v>252076.51219512196</v>
      </c>
      <c r="L6">
        <f t="shared" si="3"/>
        <v>82629</v>
      </c>
      <c r="M6">
        <v>82629</v>
      </c>
      <c r="N6">
        <v>36790</v>
      </c>
      <c r="O6" t="s">
        <v>33</v>
      </c>
      <c r="P6" t="s">
        <v>17</v>
      </c>
    </row>
    <row r="7" spans="1:16" x14ac:dyDescent="0.3">
      <c r="A7" t="s">
        <v>38</v>
      </c>
      <c r="B7" t="str">
        <f>CONCATENATE(Table1[[#This Row],[First Name]]," ",Table1[[#This Row],[Last Name]])</f>
        <v>Alexis Roy</v>
      </c>
      <c r="C7" t="s">
        <v>39</v>
      </c>
      <c r="D7" t="s">
        <v>40</v>
      </c>
      <c r="E7" t="s">
        <v>14</v>
      </c>
      <c r="F7">
        <f t="shared" si="0"/>
        <v>39</v>
      </c>
      <c r="G7">
        <v>39</v>
      </c>
      <c r="H7" t="str">
        <f t="shared" si="1"/>
        <v>Male</v>
      </c>
      <c r="I7" t="s">
        <v>59</v>
      </c>
      <c r="J7">
        <f t="shared" si="2"/>
        <v>393546</v>
      </c>
      <c r="K7">
        <v>393546</v>
      </c>
      <c r="L7">
        <f t="shared" si="3"/>
        <v>282820</v>
      </c>
      <c r="M7">
        <v>282820</v>
      </c>
      <c r="N7">
        <v>60204</v>
      </c>
      <c r="O7" t="s">
        <v>33</v>
      </c>
      <c r="P7" t="s">
        <v>17</v>
      </c>
    </row>
    <row r="8" spans="1:16" x14ac:dyDescent="0.3">
      <c r="A8" t="s">
        <v>41</v>
      </c>
      <c r="B8" t="str">
        <f>CONCATENATE(Table1[[#This Row],[First Name]]," ",Table1[[#This Row],[Last Name]])</f>
        <v>Jonathon Wright</v>
      </c>
      <c r="C8" t="s">
        <v>42</v>
      </c>
      <c r="D8" t="s">
        <v>43</v>
      </c>
      <c r="E8" t="s">
        <v>44</v>
      </c>
      <c r="F8">
        <f t="shared" si="0"/>
        <v>40</v>
      </c>
      <c r="G8">
        <v>40</v>
      </c>
      <c r="H8" t="str">
        <f t="shared" si="1"/>
        <v>Male</v>
      </c>
      <c r="I8" t="s">
        <v>59</v>
      </c>
      <c r="J8">
        <f t="shared" si="2"/>
        <v>277326</v>
      </c>
      <c r="K8">
        <v>277326</v>
      </c>
      <c r="L8">
        <f t="shared" si="3"/>
        <v>202534</v>
      </c>
      <c r="M8">
        <v>202534</v>
      </c>
      <c r="N8">
        <v>63511</v>
      </c>
      <c r="O8" t="s">
        <v>33</v>
      </c>
      <c r="P8" t="s">
        <v>24</v>
      </c>
    </row>
    <row r="9" spans="1:16" x14ac:dyDescent="0.3">
      <c r="A9" t="s">
        <v>45</v>
      </c>
      <c r="B9" t="str">
        <f>CONCATENATE(Table1[[#This Row],[First Name]]," ",Table1[[#This Row],[Last Name]])</f>
        <v>Kevin Daniel</v>
      </c>
      <c r="C9" t="s">
        <v>46</v>
      </c>
      <c r="D9" t="s">
        <v>47</v>
      </c>
      <c r="E9" t="s">
        <v>48</v>
      </c>
      <c r="F9">
        <f t="shared" si="0"/>
        <v>31</v>
      </c>
      <c r="G9">
        <v>31</v>
      </c>
      <c r="H9" t="str">
        <f t="shared" si="1"/>
        <v>Female</v>
      </c>
      <c r="I9" t="s">
        <v>22</v>
      </c>
      <c r="J9">
        <f t="shared" si="2"/>
        <v>409932</v>
      </c>
      <c r="K9">
        <v>409932</v>
      </c>
      <c r="L9">
        <f t="shared" si="3"/>
        <v>209949</v>
      </c>
      <c r="M9">
        <v>209949</v>
      </c>
      <c r="N9">
        <v>17760</v>
      </c>
      <c r="O9" t="s">
        <v>23</v>
      </c>
      <c r="P9" t="s">
        <v>17</v>
      </c>
    </row>
    <row r="10" spans="1:16" x14ac:dyDescent="0.3">
      <c r="A10" t="s">
        <v>49</v>
      </c>
      <c r="B10" t="str">
        <f>CONCATENATE(Table1[[#This Row],[First Name]]," ",Table1[[#This Row],[Last Name]])</f>
        <v>Aaron Carpenter</v>
      </c>
      <c r="C10" t="s">
        <v>50</v>
      </c>
      <c r="D10" t="s">
        <v>51</v>
      </c>
      <c r="E10" t="s">
        <v>14</v>
      </c>
      <c r="F10">
        <f t="shared" si="0"/>
        <v>47</v>
      </c>
      <c r="G10">
        <v>47</v>
      </c>
      <c r="H10" t="str">
        <f t="shared" si="1"/>
        <v>Male</v>
      </c>
      <c r="I10" t="s">
        <v>59</v>
      </c>
      <c r="J10">
        <f t="shared" si="2"/>
        <v>468043</v>
      </c>
      <c r="K10">
        <v>468043</v>
      </c>
      <c r="L10">
        <f t="shared" si="3"/>
        <v>123836</v>
      </c>
      <c r="M10">
        <v>123836</v>
      </c>
      <c r="N10">
        <v>101261</v>
      </c>
      <c r="O10" t="s">
        <v>16</v>
      </c>
      <c r="P10" t="s">
        <v>17</v>
      </c>
    </row>
    <row r="11" spans="1:16" x14ac:dyDescent="0.3">
      <c r="A11" t="s">
        <v>52</v>
      </c>
      <c r="B11" t="str">
        <f>CONCATENATE(Table1[[#This Row],[First Name]]," ",Table1[[#This Row],[Last Name]])</f>
        <v>Brittany Anderson</v>
      </c>
      <c r="C11" t="s">
        <v>53</v>
      </c>
      <c r="D11" t="s">
        <v>54</v>
      </c>
      <c r="E11" t="s">
        <v>44</v>
      </c>
      <c r="F11">
        <f t="shared" si="0"/>
        <v>45</v>
      </c>
      <c r="G11">
        <v>45</v>
      </c>
      <c r="H11" t="str">
        <f t="shared" si="1"/>
        <v>Male</v>
      </c>
      <c r="I11" t="s">
        <v>59</v>
      </c>
      <c r="J11">
        <f t="shared" si="2"/>
        <v>328320</v>
      </c>
      <c r="K11">
        <v>328320</v>
      </c>
      <c r="L11">
        <f t="shared" si="3"/>
        <v>171683</v>
      </c>
      <c r="M11">
        <v>171683</v>
      </c>
      <c r="N11">
        <v>115464</v>
      </c>
      <c r="O11" t="s">
        <v>16</v>
      </c>
      <c r="P11" t="s">
        <v>24</v>
      </c>
    </row>
    <row r="12" spans="1:16" x14ac:dyDescent="0.3">
      <c r="A12" t="s">
        <v>55</v>
      </c>
      <c r="B12" t="str">
        <f>CONCATENATE(Table1[[#This Row],[First Name]]," ",Table1[[#This Row],[Last Name]])</f>
        <v>Jose Carson</v>
      </c>
      <c r="C12" t="s">
        <v>56</v>
      </c>
      <c r="D12" t="s">
        <v>57</v>
      </c>
      <c r="E12" t="s">
        <v>58</v>
      </c>
      <c r="F12">
        <f t="shared" si="0"/>
        <v>57</v>
      </c>
      <c r="G12">
        <v>57</v>
      </c>
      <c r="H12" t="str">
        <f t="shared" si="1"/>
        <v>Male</v>
      </c>
      <c r="I12" t="s">
        <v>59</v>
      </c>
      <c r="J12">
        <f t="shared" si="2"/>
        <v>311372</v>
      </c>
      <c r="K12">
        <v>311372</v>
      </c>
      <c r="L12">
        <f t="shared" si="3"/>
        <v>251677</v>
      </c>
      <c r="M12">
        <v>251677</v>
      </c>
      <c r="N12">
        <v>47473</v>
      </c>
      <c r="O12" t="s">
        <v>16</v>
      </c>
      <c r="P12" t="s">
        <v>17</v>
      </c>
    </row>
    <row r="13" spans="1:16" x14ac:dyDescent="0.3">
      <c r="A13" t="s">
        <v>60</v>
      </c>
      <c r="B13" t="str">
        <f>CONCATENATE(Table1[[#This Row],[First Name]]," ",Table1[[#This Row],[Last Name]])</f>
        <v>Christopher Smith</v>
      </c>
      <c r="C13" t="s">
        <v>61</v>
      </c>
      <c r="D13" t="s">
        <v>62</v>
      </c>
      <c r="E13" t="s">
        <v>44</v>
      </c>
      <c r="F13">
        <f t="shared" si="0"/>
        <v>38</v>
      </c>
      <c r="G13">
        <v>38</v>
      </c>
      <c r="H13" t="str">
        <f t="shared" si="1"/>
        <v>Male</v>
      </c>
      <c r="I13" t="s">
        <v>59</v>
      </c>
      <c r="J13">
        <f t="shared" si="2"/>
        <v>37657</v>
      </c>
      <c r="K13">
        <v>37657</v>
      </c>
      <c r="L13">
        <f t="shared" si="3"/>
        <v>146719</v>
      </c>
      <c r="M13">
        <v>146719</v>
      </c>
      <c r="N13">
        <v>147344</v>
      </c>
      <c r="O13" t="s">
        <v>23</v>
      </c>
      <c r="P13" t="s">
        <v>24</v>
      </c>
    </row>
    <row r="14" spans="1:16" x14ac:dyDescent="0.3">
      <c r="A14" t="s">
        <v>63</v>
      </c>
      <c r="B14" t="str">
        <f>CONCATENATE(Table1[[#This Row],[First Name]]," ",Table1[[#This Row],[Last Name]])</f>
        <v>Brent Robbins</v>
      </c>
      <c r="C14" t="s">
        <v>64</v>
      </c>
      <c r="D14" t="s">
        <v>65</v>
      </c>
      <c r="E14" t="s">
        <v>44</v>
      </c>
      <c r="F14">
        <f t="shared" si="0"/>
        <v>57</v>
      </c>
      <c r="G14">
        <v>57</v>
      </c>
      <c r="H14" t="str">
        <f t="shared" si="1"/>
        <v>Female</v>
      </c>
      <c r="I14" t="s">
        <v>22</v>
      </c>
      <c r="J14" s="2">
        <f t="shared" si="2"/>
        <v>252076.51219512196</v>
      </c>
      <c r="L14">
        <f t="shared" si="3"/>
        <v>97461</v>
      </c>
      <c r="M14">
        <v>97461</v>
      </c>
      <c r="N14">
        <v>80848</v>
      </c>
      <c r="O14" t="s">
        <v>23</v>
      </c>
      <c r="P14" t="s">
        <v>17</v>
      </c>
    </row>
    <row r="15" spans="1:16" x14ac:dyDescent="0.3">
      <c r="A15" t="s">
        <v>66</v>
      </c>
      <c r="B15" t="str">
        <f>CONCATENATE(Table1[[#This Row],[First Name]]," ",Table1[[#This Row],[Last Name]])</f>
        <v>Benjamin Alvarez</v>
      </c>
      <c r="C15" t="s">
        <v>67</v>
      </c>
      <c r="D15" t="s">
        <v>68</v>
      </c>
      <c r="E15" t="s">
        <v>21</v>
      </c>
      <c r="F15">
        <f t="shared" si="0"/>
        <v>34</v>
      </c>
      <c r="G15">
        <v>34</v>
      </c>
      <c r="H15" t="str">
        <f t="shared" si="1"/>
        <v>Female</v>
      </c>
      <c r="I15" t="s">
        <v>22</v>
      </c>
      <c r="J15">
        <f t="shared" si="2"/>
        <v>235791</v>
      </c>
      <c r="K15">
        <v>235791</v>
      </c>
      <c r="L15">
        <f t="shared" si="3"/>
        <v>49290</v>
      </c>
      <c r="M15">
        <v>49290</v>
      </c>
      <c r="N15">
        <v>24861</v>
      </c>
      <c r="O15" t="s">
        <v>23</v>
      </c>
      <c r="P15" t="s">
        <v>24</v>
      </c>
    </row>
    <row r="16" spans="1:16" x14ac:dyDescent="0.3">
      <c r="A16" t="s">
        <v>70</v>
      </c>
      <c r="B16" t="str">
        <f>CONCATENATE(Table1[[#This Row],[First Name]]," ",Table1[[#This Row],[Last Name]])</f>
        <v>Kenneth Barker</v>
      </c>
      <c r="C16" t="s">
        <v>71</v>
      </c>
      <c r="D16" t="s">
        <v>72</v>
      </c>
      <c r="E16" t="s">
        <v>44</v>
      </c>
      <c r="F16">
        <f t="shared" si="0"/>
        <v>34</v>
      </c>
      <c r="G16">
        <v>34</v>
      </c>
      <c r="H16" t="str">
        <f t="shared" si="1"/>
        <v>Male</v>
      </c>
      <c r="I16" t="s">
        <v>59</v>
      </c>
      <c r="J16">
        <f t="shared" si="2"/>
        <v>142325</v>
      </c>
      <c r="K16">
        <v>142325</v>
      </c>
      <c r="L16">
        <f t="shared" si="3"/>
        <v>119346</v>
      </c>
      <c r="M16">
        <v>119346</v>
      </c>
      <c r="N16">
        <v>63943</v>
      </c>
      <c r="O16" t="s">
        <v>16</v>
      </c>
      <c r="P16" t="s">
        <v>17</v>
      </c>
    </row>
    <row r="17" spans="1:16" x14ac:dyDescent="0.3">
      <c r="A17" t="s">
        <v>73</v>
      </c>
      <c r="B17" t="str">
        <f>CONCATENATE(Table1[[#This Row],[First Name]]," ",Table1[[#This Row],[Last Name]])</f>
        <v>Nathan Humphrey</v>
      </c>
      <c r="C17" t="s">
        <v>74</v>
      </c>
      <c r="D17" t="s">
        <v>75</v>
      </c>
      <c r="E17" t="s">
        <v>44</v>
      </c>
      <c r="F17">
        <f t="shared" si="0"/>
        <v>25</v>
      </c>
      <c r="G17">
        <v>25</v>
      </c>
      <c r="H17" t="str">
        <f t="shared" si="1"/>
        <v>Female</v>
      </c>
      <c r="I17" t="s">
        <v>22</v>
      </c>
      <c r="J17">
        <f t="shared" si="2"/>
        <v>183534</v>
      </c>
      <c r="K17">
        <v>183534</v>
      </c>
      <c r="L17">
        <f t="shared" si="3"/>
        <v>37832</v>
      </c>
      <c r="M17">
        <v>37832</v>
      </c>
      <c r="N17">
        <v>82064</v>
      </c>
      <c r="O17" t="s">
        <v>33</v>
      </c>
      <c r="P17" t="s">
        <v>24</v>
      </c>
    </row>
    <row r="18" spans="1:16" x14ac:dyDescent="0.3">
      <c r="A18" t="s">
        <v>76</v>
      </c>
      <c r="B18" t="str">
        <f>CONCATENATE(Table1[[#This Row],[First Name]]," ",Table1[[#This Row],[Last Name]])</f>
        <v>Rodney Mueller</v>
      </c>
      <c r="C18" t="s">
        <v>77</v>
      </c>
      <c r="D18" t="s">
        <v>78</v>
      </c>
      <c r="E18" t="s">
        <v>21</v>
      </c>
      <c r="F18">
        <f t="shared" si="0"/>
        <v>39</v>
      </c>
      <c r="G18">
        <v>39</v>
      </c>
      <c r="H18" t="str">
        <f t="shared" si="1"/>
        <v>Unknown</v>
      </c>
      <c r="J18">
        <f t="shared" si="2"/>
        <v>378588</v>
      </c>
      <c r="K18">
        <v>378588</v>
      </c>
      <c r="L18">
        <f t="shared" si="3"/>
        <v>4870</v>
      </c>
      <c r="M18">
        <v>4870</v>
      </c>
      <c r="N18">
        <v>147525</v>
      </c>
      <c r="O18" t="s">
        <v>16</v>
      </c>
      <c r="P18" t="s">
        <v>17</v>
      </c>
    </row>
    <row r="19" spans="1:16" x14ac:dyDescent="0.3">
      <c r="A19" t="s">
        <v>79</v>
      </c>
      <c r="B19" t="str">
        <f>CONCATENATE(Table1[[#This Row],[First Name]]," ",Table1[[#This Row],[Last Name]])</f>
        <v>John Williamson</v>
      </c>
      <c r="C19" t="s">
        <v>80</v>
      </c>
      <c r="D19" t="s">
        <v>81</v>
      </c>
      <c r="E19" t="s">
        <v>48</v>
      </c>
      <c r="F19">
        <f t="shared" si="0"/>
        <v>32</v>
      </c>
      <c r="G19">
        <v>32</v>
      </c>
      <c r="H19" t="str">
        <f t="shared" si="1"/>
        <v>Female</v>
      </c>
      <c r="I19" t="s">
        <v>22</v>
      </c>
      <c r="J19">
        <f t="shared" si="2"/>
        <v>109396</v>
      </c>
      <c r="K19">
        <v>109396</v>
      </c>
      <c r="L19">
        <f t="shared" si="3"/>
        <v>24146</v>
      </c>
      <c r="M19">
        <v>24146</v>
      </c>
      <c r="N19">
        <v>84605</v>
      </c>
      <c r="O19" t="s">
        <v>16</v>
      </c>
      <c r="P19" t="s">
        <v>24</v>
      </c>
    </row>
    <row r="20" spans="1:16" x14ac:dyDescent="0.3">
      <c r="A20" t="s">
        <v>82</v>
      </c>
      <c r="B20" t="str">
        <f>CONCATENATE(Table1[[#This Row],[First Name]]," ",Table1[[#This Row],[Last Name]])</f>
        <v>Alexis Collins</v>
      </c>
      <c r="C20" t="s">
        <v>39</v>
      </c>
      <c r="D20" t="s">
        <v>83</v>
      </c>
      <c r="E20" t="s">
        <v>58</v>
      </c>
      <c r="F20">
        <f t="shared" si="0"/>
        <v>58</v>
      </c>
      <c r="G20">
        <v>58</v>
      </c>
      <c r="H20" t="str">
        <f t="shared" si="1"/>
        <v>Female</v>
      </c>
      <c r="I20" t="s">
        <v>22</v>
      </c>
      <c r="J20">
        <f t="shared" si="2"/>
        <v>366989</v>
      </c>
      <c r="K20">
        <v>366989</v>
      </c>
      <c r="L20">
        <f t="shared" si="3"/>
        <v>66345</v>
      </c>
      <c r="M20">
        <v>66345</v>
      </c>
      <c r="N20">
        <v>93738</v>
      </c>
      <c r="O20" t="s">
        <v>16</v>
      </c>
      <c r="P20" t="s">
        <v>24</v>
      </c>
    </row>
    <row r="21" spans="1:16" x14ac:dyDescent="0.3">
      <c r="A21" t="s">
        <v>84</v>
      </c>
      <c r="B21" t="str">
        <f>CONCATENATE(Table1[[#This Row],[First Name]]," ",Table1[[#This Row],[Last Name]])</f>
        <v>Dustin Garcia</v>
      </c>
      <c r="C21" t="s">
        <v>85</v>
      </c>
      <c r="D21" t="s">
        <v>86</v>
      </c>
      <c r="E21" t="s">
        <v>48</v>
      </c>
      <c r="F21">
        <f t="shared" si="0"/>
        <v>29</v>
      </c>
      <c r="G21">
        <v>29</v>
      </c>
      <c r="H21" t="str">
        <f t="shared" si="1"/>
        <v>Female</v>
      </c>
      <c r="I21" t="s">
        <v>22</v>
      </c>
      <c r="J21">
        <f t="shared" si="2"/>
        <v>28089</v>
      </c>
      <c r="K21">
        <v>28089</v>
      </c>
      <c r="L21">
        <f t="shared" si="3"/>
        <v>105962</v>
      </c>
      <c r="M21">
        <v>105962</v>
      </c>
      <c r="N21">
        <v>89657</v>
      </c>
      <c r="O21" t="s">
        <v>16</v>
      </c>
      <c r="P21" t="s">
        <v>24</v>
      </c>
    </row>
    <row r="22" spans="1:16" x14ac:dyDescent="0.3">
      <c r="A22" t="s">
        <v>87</v>
      </c>
      <c r="B22" t="str">
        <f>CONCATENATE(Table1[[#This Row],[First Name]]," ",Table1[[#This Row],[Last Name]])</f>
        <v>Raymond Brown</v>
      </c>
      <c r="C22" t="s">
        <v>88</v>
      </c>
      <c r="D22" t="s">
        <v>89</v>
      </c>
      <c r="E22" t="s">
        <v>14</v>
      </c>
      <c r="F22">
        <f t="shared" si="0"/>
        <v>24</v>
      </c>
      <c r="G22">
        <v>24</v>
      </c>
      <c r="H22" t="str">
        <f t="shared" si="1"/>
        <v>Male</v>
      </c>
      <c r="I22" t="s">
        <v>59</v>
      </c>
      <c r="J22">
        <f t="shared" si="2"/>
        <v>464120</v>
      </c>
      <c r="K22">
        <v>464120</v>
      </c>
      <c r="L22">
        <f t="shared" si="3"/>
        <v>255109</v>
      </c>
      <c r="M22">
        <v>255109</v>
      </c>
      <c r="N22">
        <v>49534</v>
      </c>
      <c r="O22" t="s">
        <v>23</v>
      </c>
      <c r="P22" t="s">
        <v>24</v>
      </c>
    </row>
    <row r="23" spans="1:16" x14ac:dyDescent="0.3">
      <c r="A23" t="s">
        <v>91</v>
      </c>
      <c r="B23" t="str">
        <f>CONCATENATE(Table1[[#This Row],[First Name]]," ",Table1[[#This Row],[Last Name]])</f>
        <v>Latoya White</v>
      </c>
      <c r="C23" t="s">
        <v>92</v>
      </c>
      <c r="D23" t="s">
        <v>93</v>
      </c>
      <c r="E23" t="s">
        <v>21</v>
      </c>
      <c r="F23">
        <f t="shared" si="0"/>
        <v>52</v>
      </c>
      <c r="G23">
        <v>52</v>
      </c>
      <c r="H23" t="str">
        <f t="shared" si="1"/>
        <v>Female</v>
      </c>
      <c r="I23" t="s">
        <v>22</v>
      </c>
      <c r="J23">
        <f t="shared" si="2"/>
        <v>242645</v>
      </c>
      <c r="K23">
        <v>242645</v>
      </c>
      <c r="L23">
        <f t="shared" si="3"/>
        <v>215764</v>
      </c>
      <c r="M23">
        <v>215764</v>
      </c>
      <c r="N23">
        <v>119723</v>
      </c>
      <c r="O23" t="s">
        <v>33</v>
      </c>
      <c r="P23" t="s">
        <v>17</v>
      </c>
    </row>
    <row r="24" spans="1:16" x14ac:dyDescent="0.3">
      <c r="A24" t="s">
        <v>94</v>
      </c>
      <c r="B24" t="str">
        <f>CONCATENATE(Table1[[#This Row],[First Name]]," ",Table1[[#This Row],[Last Name]])</f>
        <v>Kelsey Castillo</v>
      </c>
      <c r="C24" t="s">
        <v>95</v>
      </c>
      <c r="D24" t="s">
        <v>96</v>
      </c>
      <c r="E24" t="s">
        <v>21</v>
      </c>
      <c r="F24">
        <f t="shared" si="0"/>
        <v>27</v>
      </c>
      <c r="G24">
        <v>27</v>
      </c>
      <c r="H24" t="str">
        <f t="shared" si="1"/>
        <v>Female</v>
      </c>
      <c r="I24" t="s">
        <v>22</v>
      </c>
      <c r="J24">
        <f t="shared" si="2"/>
        <v>96931</v>
      </c>
      <c r="K24">
        <v>96931</v>
      </c>
      <c r="L24">
        <f t="shared" si="3"/>
        <v>212684</v>
      </c>
      <c r="M24">
        <v>212684</v>
      </c>
      <c r="N24">
        <v>72262</v>
      </c>
      <c r="O24" t="s">
        <v>33</v>
      </c>
      <c r="P24" t="s">
        <v>17</v>
      </c>
    </row>
    <row r="25" spans="1:16" x14ac:dyDescent="0.3">
      <c r="A25" t="s">
        <v>97</v>
      </c>
      <c r="B25" t="str">
        <f>CONCATENATE(Table1[[#This Row],[First Name]]," ",Table1[[#This Row],[Last Name]])</f>
        <v>Allison Wang</v>
      </c>
      <c r="C25" t="s">
        <v>98</v>
      </c>
      <c r="D25" t="s">
        <v>99</v>
      </c>
      <c r="E25" t="s">
        <v>14</v>
      </c>
      <c r="F25">
        <f t="shared" si="0"/>
        <v>31</v>
      </c>
      <c r="G25">
        <v>31</v>
      </c>
      <c r="H25" t="str">
        <f t="shared" si="1"/>
        <v>Female</v>
      </c>
      <c r="I25" t="s">
        <v>22</v>
      </c>
      <c r="J25" s="2">
        <f t="shared" si="2"/>
        <v>252076.51219512196</v>
      </c>
      <c r="L25">
        <f t="shared" si="3"/>
        <v>22589</v>
      </c>
      <c r="M25">
        <v>22589</v>
      </c>
      <c r="N25">
        <v>96065</v>
      </c>
      <c r="O25" t="s">
        <v>33</v>
      </c>
      <c r="P25" t="s">
        <v>24</v>
      </c>
    </row>
    <row r="26" spans="1:16" x14ac:dyDescent="0.3">
      <c r="A26" t="s">
        <v>100</v>
      </c>
      <c r="B26" t="str">
        <f>CONCATENATE(Table1[[#This Row],[First Name]]," ",Table1[[#This Row],[Last Name]])</f>
        <v>Theresa Crosby</v>
      </c>
      <c r="C26" t="s">
        <v>101</v>
      </c>
      <c r="D26" t="s">
        <v>102</v>
      </c>
      <c r="E26" t="s">
        <v>58</v>
      </c>
      <c r="F26">
        <f t="shared" si="0"/>
        <v>40</v>
      </c>
      <c r="G26">
        <v>40</v>
      </c>
      <c r="H26" t="str">
        <f t="shared" si="1"/>
        <v>Female</v>
      </c>
      <c r="I26" t="s">
        <v>22</v>
      </c>
      <c r="J26">
        <f t="shared" si="2"/>
        <v>376023</v>
      </c>
      <c r="K26">
        <v>376023</v>
      </c>
      <c r="L26">
        <f t="shared" si="3"/>
        <v>125661</v>
      </c>
      <c r="M26">
        <v>125661</v>
      </c>
      <c r="N26">
        <v>17897</v>
      </c>
      <c r="O26" t="s">
        <v>16</v>
      </c>
      <c r="P26" t="s">
        <v>17</v>
      </c>
    </row>
    <row r="27" spans="1:16" x14ac:dyDescent="0.3">
      <c r="A27" t="s">
        <v>103</v>
      </c>
      <c r="B27" t="str">
        <f>CONCATENATE(Table1[[#This Row],[First Name]]," ",Table1[[#This Row],[Last Name]])</f>
        <v>Katelyn Ramirez</v>
      </c>
      <c r="C27" t="s">
        <v>104</v>
      </c>
      <c r="D27" t="s">
        <v>105</v>
      </c>
      <c r="E27" t="s">
        <v>48</v>
      </c>
      <c r="F27">
        <f t="shared" si="0"/>
        <v>37</v>
      </c>
      <c r="G27">
        <v>37</v>
      </c>
      <c r="H27" t="str">
        <f t="shared" si="1"/>
        <v>Female</v>
      </c>
      <c r="I27" t="s">
        <v>22</v>
      </c>
      <c r="J27">
        <f t="shared" si="2"/>
        <v>240960</v>
      </c>
      <c r="K27">
        <v>240960</v>
      </c>
      <c r="L27">
        <f t="shared" si="3"/>
        <v>87899</v>
      </c>
      <c r="M27">
        <v>87899</v>
      </c>
      <c r="N27">
        <v>73114</v>
      </c>
      <c r="O27" t="s">
        <v>33</v>
      </c>
      <c r="P27" t="s">
        <v>24</v>
      </c>
    </row>
    <row r="28" spans="1:16" x14ac:dyDescent="0.3">
      <c r="A28" t="s">
        <v>106</v>
      </c>
      <c r="B28" t="str">
        <f>CONCATENATE(Table1[[#This Row],[First Name]]," ",Table1[[#This Row],[Last Name]])</f>
        <v>Marc Newman</v>
      </c>
      <c r="C28" t="s">
        <v>107</v>
      </c>
      <c r="D28" t="s">
        <v>108</v>
      </c>
      <c r="E28" t="s">
        <v>14</v>
      </c>
      <c r="F28">
        <f t="shared" si="0"/>
        <v>32</v>
      </c>
      <c r="G28">
        <v>32</v>
      </c>
      <c r="H28" t="str">
        <f t="shared" si="1"/>
        <v>Female</v>
      </c>
      <c r="I28" t="s">
        <v>22</v>
      </c>
      <c r="J28">
        <f t="shared" si="2"/>
        <v>370808</v>
      </c>
      <c r="K28">
        <v>370808</v>
      </c>
      <c r="L28">
        <f t="shared" si="3"/>
        <v>214420</v>
      </c>
      <c r="M28">
        <v>214420</v>
      </c>
      <c r="N28">
        <v>97047</v>
      </c>
      <c r="O28" t="s">
        <v>16</v>
      </c>
      <c r="P28" t="s">
        <v>24</v>
      </c>
    </row>
    <row r="29" spans="1:16" x14ac:dyDescent="0.3">
      <c r="A29" t="s">
        <v>109</v>
      </c>
      <c r="B29" t="str">
        <f>CONCATENATE(Table1[[#This Row],[First Name]]," ",Table1[[#This Row],[Last Name]])</f>
        <v>Renee Dunn</v>
      </c>
      <c r="C29" t="s">
        <v>110</v>
      </c>
      <c r="D29" t="s">
        <v>111</v>
      </c>
      <c r="E29" t="s">
        <v>14</v>
      </c>
      <c r="F29">
        <f t="shared" si="0"/>
        <v>38</v>
      </c>
      <c r="G29">
        <v>38</v>
      </c>
      <c r="H29" t="str">
        <f t="shared" si="1"/>
        <v>Female</v>
      </c>
      <c r="I29" t="s">
        <v>22</v>
      </c>
      <c r="J29">
        <f t="shared" si="2"/>
        <v>288932</v>
      </c>
      <c r="K29">
        <v>288932</v>
      </c>
      <c r="L29">
        <f t="shared" si="3"/>
        <v>169820</v>
      </c>
      <c r="M29">
        <v>169820</v>
      </c>
      <c r="N29">
        <v>104449</v>
      </c>
      <c r="O29" t="s">
        <v>23</v>
      </c>
      <c r="P29" t="s">
        <v>24</v>
      </c>
    </row>
    <row r="30" spans="1:16" x14ac:dyDescent="0.3">
      <c r="A30" t="s">
        <v>112</v>
      </c>
      <c r="B30" t="str">
        <f>CONCATENATE(Table1[[#This Row],[First Name]]," ",Table1[[#This Row],[Last Name]])</f>
        <v>David Myers</v>
      </c>
      <c r="C30" t="s">
        <v>113</v>
      </c>
      <c r="D30" t="s">
        <v>114</v>
      </c>
      <c r="E30" t="s">
        <v>44</v>
      </c>
      <c r="F30">
        <f t="shared" si="0"/>
        <v>27</v>
      </c>
      <c r="G30">
        <v>27</v>
      </c>
      <c r="H30" t="str">
        <f t="shared" si="1"/>
        <v>Female</v>
      </c>
      <c r="I30" t="s">
        <v>22</v>
      </c>
      <c r="J30">
        <f t="shared" si="2"/>
        <v>229111</v>
      </c>
      <c r="K30">
        <v>229111</v>
      </c>
      <c r="L30">
        <f t="shared" si="3"/>
        <v>162228</v>
      </c>
      <c r="M30">
        <v>162228</v>
      </c>
      <c r="N30">
        <v>46648</v>
      </c>
      <c r="O30" t="s">
        <v>33</v>
      </c>
      <c r="P30" t="s">
        <v>24</v>
      </c>
    </row>
    <row r="31" spans="1:16" x14ac:dyDescent="0.3">
      <c r="A31" t="s">
        <v>115</v>
      </c>
      <c r="B31" t="str">
        <f>CONCATENATE(Table1[[#This Row],[First Name]]," ",Table1[[#This Row],[Last Name]])</f>
        <v>Thomas Hill</v>
      </c>
      <c r="C31" t="s">
        <v>116</v>
      </c>
      <c r="D31" t="s">
        <v>117</v>
      </c>
      <c r="E31" t="s">
        <v>58</v>
      </c>
      <c r="F31">
        <f t="shared" si="0"/>
        <v>22</v>
      </c>
      <c r="G31">
        <v>22</v>
      </c>
      <c r="H31" t="str">
        <f t="shared" si="1"/>
        <v>Female</v>
      </c>
      <c r="I31" t="s">
        <v>22</v>
      </c>
      <c r="J31">
        <f t="shared" si="2"/>
        <v>327115</v>
      </c>
      <c r="K31">
        <v>327115</v>
      </c>
      <c r="L31">
        <f t="shared" si="3"/>
        <v>105929</v>
      </c>
      <c r="M31">
        <v>105929</v>
      </c>
      <c r="N31">
        <v>117263</v>
      </c>
      <c r="O31" t="s">
        <v>33</v>
      </c>
      <c r="P31" t="s">
        <v>17</v>
      </c>
    </row>
    <row r="32" spans="1:16" x14ac:dyDescent="0.3">
      <c r="A32" t="s">
        <v>118</v>
      </c>
      <c r="B32" t="str">
        <f>CONCATENATE(Table1[[#This Row],[First Name]]," ",Table1[[#This Row],[Last Name]])</f>
        <v>Kenneth Meadows</v>
      </c>
      <c r="C32" t="s">
        <v>71</v>
      </c>
      <c r="D32" t="s">
        <v>119</v>
      </c>
      <c r="E32" t="s">
        <v>21</v>
      </c>
      <c r="F32">
        <f t="shared" si="0"/>
        <v>45</v>
      </c>
      <c r="G32">
        <v>45</v>
      </c>
      <c r="H32" t="str">
        <f t="shared" si="1"/>
        <v>Female</v>
      </c>
      <c r="I32" t="s">
        <v>22</v>
      </c>
      <c r="J32">
        <f t="shared" si="2"/>
        <v>369852</v>
      </c>
      <c r="K32">
        <v>369852</v>
      </c>
      <c r="L32" s="2">
        <f t="shared" si="3"/>
        <v>147676.125</v>
      </c>
      <c r="N32">
        <v>63444</v>
      </c>
      <c r="O32" t="s">
        <v>23</v>
      </c>
      <c r="P32" t="s">
        <v>17</v>
      </c>
    </row>
    <row r="33" spans="1:16" x14ac:dyDescent="0.3">
      <c r="A33" t="s">
        <v>120</v>
      </c>
      <c r="B33" t="str">
        <f>CONCATENATE(Table1[[#This Row],[First Name]]," ",Table1[[#This Row],[Last Name]])</f>
        <v>Michael Mccoy</v>
      </c>
      <c r="C33" t="s">
        <v>121</v>
      </c>
      <c r="D33" t="s">
        <v>122</v>
      </c>
      <c r="E33" t="s">
        <v>44</v>
      </c>
      <c r="F33">
        <f t="shared" si="0"/>
        <v>28</v>
      </c>
      <c r="G33">
        <v>28</v>
      </c>
      <c r="H33" t="str">
        <f t="shared" si="1"/>
        <v>Female</v>
      </c>
      <c r="I33" t="s">
        <v>22</v>
      </c>
      <c r="J33">
        <f t="shared" si="2"/>
        <v>31862</v>
      </c>
      <c r="K33">
        <v>31862</v>
      </c>
      <c r="L33">
        <f t="shared" si="3"/>
        <v>264712</v>
      </c>
      <c r="M33">
        <v>264712</v>
      </c>
      <c r="N33">
        <v>89071</v>
      </c>
      <c r="O33" t="s">
        <v>23</v>
      </c>
      <c r="P33" t="s">
        <v>17</v>
      </c>
    </row>
    <row r="34" spans="1:16" x14ac:dyDescent="0.3">
      <c r="A34" t="s">
        <v>123</v>
      </c>
      <c r="B34" t="str">
        <f>CONCATENATE(Table1[[#This Row],[First Name]]," ",Table1[[#This Row],[Last Name]])</f>
        <v>Jason Crosby</v>
      </c>
      <c r="C34" t="s">
        <v>124</v>
      </c>
      <c r="D34" t="s">
        <v>102</v>
      </c>
      <c r="E34" t="s">
        <v>14</v>
      </c>
      <c r="F34">
        <f t="shared" ref="F34:F65" si="4">IF(G34="", AVERAGE($G$2:$G$501),G34)</f>
        <v>59</v>
      </c>
      <c r="G34">
        <v>59</v>
      </c>
      <c r="H34" t="str">
        <f t="shared" si="1"/>
        <v>Female</v>
      </c>
      <c r="I34" t="s">
        <v>22</v>
      </c>
      <c r="J34">
        <f t="shared" si="2"/>
        <v>157366</v>
      </c>
      <c r="K34">
        <v>157366</v>
      </c>
      <c r="L34">
        <f t="shared" si="3"/>
        <v>279801</v>
      </c>
      <c r="M34">
        <v>279801</v>
      </c>
      <c r="N34">
        <v>53889</v>
      </c>
      <c r="O34" t="s">
        <v>23</v>
      </c>
      <c r="P34" t="s">
        <v>24</v>
      </c>
    </row>
    <row r="35" spans="1:16" x14ac:dyDescent="0.3">
      <c r="A35" t="s">
        <v>125</v>
      </c>
      <c r="B35" t="str">
        <f>CONCATENATE(Table1[[#This Row],[First Name]]," ",Table1[[#This Row],[Last Name]])</f>
        <v>Richard Scott</v>
      </c>
      <c r="C35" t="s">
        <v>126</v>
      </c>
      <c r="D35" t="s">
        <v>127</v>
      </c>
      <c r="E35" t="s">
        <v>48</v>
      </c>
      <c r="F35">
        <f t="shared" si="4"/>
        <v>52</v>
      </c>
      <c r="G35">
        <v>52</v>
      </c>
      <c r="H35" t="str">
        <f t="shared" si="1"/>
        <v>Female</v>
      </c>
      <c r="I35" t="s">
        <v>22</v>
      </c>
      <c r="J35">
        <f t="shared" si="2"/>
        <v>46103</v>
      </c>
      <c r="K35">
        <v>46103</v>
      </c>
      <c r="L35">
        <f t="shared" si="3"/>
        <v>253552</v>
      </c>
      <c r="M35">
        <v>253552</v>
      </c>
      <c r="N35">
        <v>137136</v>
      </c>
      <c r="O35" t="s">
        <v>23</v>
      </c>
      <c r="P35" t="s">
        <v>24</v>
      </c>
    </row>
    <row r="36" spans="1:16" x14ac:dyDescent="0.3">
      <c r="A36" t="s">
        <v>128</v>
      </c>
      <c r="B36" t="str">
        <f>CONCATENATE(Table1[[#This Row],[First Name]]," ",Table1[[#This Row],[Last Name]])</f>
        <v>Kyle Burch</v>
      </c>
      <c r="C36" t="s">
        <v>129</v>
      </c>
      <c r="D36" t="s">
        <v>130</v>
      </c>
      <c r="E36" t="s">
        <v>14</v>
      </c>
      <c r="F36">
        <f t="shared" si="4"/>
        <v>37</v>
      </c>
      <c r="G36">
        <v>37</v>
      </c>
      <c r="H36" t="str">
        <f t="shared" si="1"/>
        <v>Male</v>
      </c>
      <c r="I36" t="s">
        <v>59</v>
      </c>
      <c r="J36" s="2">
        <f t="shared" si="2"/>
        <v>252076.51219512196</v>
      </c>
      <c r="L36">
        <f t="shared" si="3"/>
        <v>279530</v>
      </c>
      <c r="M36">
        <v>279530</v>
      </c>
      <c r="N36">
        <v>49401</v>
      </c>
      <c r="O36" t="s">
        <v>33</v>
      </c>
      <c r="P36" t="s">
        <v>17</v>
      </c>
    </row>
    <row r="37" spans="1:16" x14ac:dyDescent="0.3">
      <c r="A37" t="s">
        <v>131</v>
      </c>
      <c r="B37" t="str">
        <f>CONCATENATE(Table1[[#This Row],[First Name]]," ",Table1[[#This Row],[Last Name]])</f>
        <v>Carol Nunez</v>
      </c>
      <c r="C37" t="s">
        <v>132</v>
      </c>
      <c r="D37" t="s">
        <v>133</v>
      </c>
      <c r="E37" t="s">
        <v>48</v>
      </c>
      <c r="F37">
        <f t="shared" si="4"/>
        <v>46</v>
      </c>
      <c r="G37">
        <v>46</v>
      </c>
      <c r="H37" t="str">
        <f t="shared" si="1"/>
        <v>Male</v>
      </c>
      <c r="I37" t="s">
        <v>59</v>
      </c>
      <c r="J37">
        <f t="shared" si="2"/>
        <v>257101</v>
      </c>
      <c r="K37">
        <v>257101</v>
      </c>
      <c r="L37">
        <f t="shared" si="3"/>
        <v>4975</v>
      </c>
      <c r="M37">
        <v>4975</v>
      </c>
      <c r="N37">
        <v>124975</v>
      </c>
      <c r="O37" t="s">
        <v>23</v>
      </c>
      <c r="P37" t="s">
        <v>17</v>
      </c>
    </row>
    <row r="38" spans="1:16" x14ac:dyDescent="0.3">
      <c r="A38" t="s">
        <v>134</v>
      </c>
      <c r="B38" t="str">
        <f>CONCATENATE(Table1[[#This Row],[First Name]]," ",Table1[[#This Row],[Last Name]])</f>
        <v>William Brady</v>
      </c>
      <c r="C38" t="s">
        <v>135</v>
      </c>
      <c r="D38" t="s">
        <v>136</v>
      </c>
      <c r="E38" t="s">
        <v>21</v>
      </c>
      <c r="F38">
        <f t="shared" si="4"/>
        <v>51</v>
      </c>
      <c r="G38">
        <v>51</v>
      </c>
      <c r="H38" t="str">
        <f t="shared" si="1"/>
        <v>Male</v>
      </c>
      <c r="I38" t="s">
        <v>59</v>
      </c>
      <c r="J38">
        <f t="shared" si="2"/>
        <v>436328</v>
      </c>
      <c r="K38">
        <v>436328</v>
      </c>
      <c r="L38">
        <f t="shared" si="3"/>
        <v>268431</v>
      </c>
      <c r="M38">
        <v>268431</v>
      </c>
      <c r="N38">
        <v>20107</v>
      </c>
      <c r="O38" t="s">
        <v>23</v>
      </c>
      <c r="P38" t="s">
        <v>24</v>
      </c>
    </row>
    <row r="39" spans="1:16" x14ac:dyDescent="0.3">
      <c r="A39" t="s">
        <v>137</v>
      </c>
      <c r="B39" t="str">
        <f>CONCATENATE(Table1[[#This Row],[First Name]]," ",Table1[[#This Row],[Last Name]])</f>
        <v>Sheena Dawson</v>
      </c>
      <c r="C39" t="s">
        <v>138</v>
      </c>
      <c r="D39" t="s">
        <v>139</v>
      </c>
      <c r="E39" t="s">
        <v>58</v>
      </c>
      <c r="F39">
        <f t="shared" si="4"/>
        <v>43</v>
      </c>
      <c r="G39">
        <v>43</v>
      </c>
      <c r="H39" t="str">
        <f t="shared" si="1"/>
        <v>Male</v>
      </c>
      <c r="I39" t="s">
        <v>59</v>
      </c>
      <c r="J39">
        <f t="shared" si="2"/>
        <v>299153</v>
      </c>
      <c r="K39">
        <v>299153</v>
      </c>
      <c r="L39">
        <f t="shared" si="3"/>
        <v>217265</v>
      </c>
      <c r="M39">
        <v>217265</v>
      </c>
      <c r="N39">
        <v>25816</v>
      </c>
      <c r="O39" t="s">
        <v>33</v>
      </c>
      <c r="P39" t="s">
        <v>17</v>
      </c>
    </row>
    <row r="40" spans="1:16" x14ac:dyDescent="0.3">
      <c r="A40" t="s">
        <v>140</v>
      </c>
      <c r="B40" t="str">
        <f>CONCATENATE(Table1[[#This Row],[First Name]]," ",Table1[[#This Row],[Last Name]])</f>
        <v>Sandra Rodriguez</v>
      </c>
      <c r="C40" t="s">
        <v>141</v>
      </c>
      <c r="D40" t="s">
        <v>142</v>
      </c>
      <c r="E40" t="s">
        <v>48</v>
      </c>
      <c r="F40" s="2">
        <f t="shared" si="4"/>
        <v>39.868583162217661</v>
      </c>
      <c r="H40" t="str">
        <f t="shared" si="1"/>
        <v>Male</v>
      </c>
      <c r="I40" t="s">
        <v>59</v>
      </c>
      <c r="J40">
        <f t="shared" si="2"/>
        <v>88858</v>
      </c>
      <c r="K40">
        <v>88858</v>
      </c>
      <c r="L40">
        <f t="shared" si="3"/>
        <v>176385</v>
      </c>
      <c r="M40">
        <v>176385</v>
      </c>
      <c r="N40">
        <v>96405</v>
      </c>
      <c r="O40" t="s">
        <v>16</v>
      </c>
      <c r="P40" t="s">
        <v>17</v>
      </c>
    </row>
    <row r="41" spans="1:16" x14ac:dyDescent="0.3">
      <c r="A41" t="s">
        <v>143</v>
      </c>
      <c r="B41" t="str">
        <f>CONCATENATE(Table1[[#This Row],[First Name]]," ",Table1[[#This Row],[Last Name]])</f>
        <v>Luis Bowen</v>
      </c>
      <c r="C41" t="s">
        <v>144</v>
      </c>
      <c r="D41" t="s">
        <v>145</v>
      </c>
      <c r="E41" t="s">
        <v>48</v>
      </c>
      <c r="F41">
        <f t="shared" si="4"/>
        <v>29</v>
      </c>
      <c r="G41">
        <v>29</v>
      </c>
      <c r="H41" t="str">
        <f t="shared" si="1"/>
        <v>Female</v>
      </c>
      <c r="I41" t="s">
        <v>22</v>
      </c>
      <c r="J41">
        <f t="shared" si="2"/>
        <v>232818</v>
      </c>
      <c r="K41">
        <v>232818</v>
      </c>
      <c r="L41">
        <f t="shared" si="3"/>
        <v>277062</v>
      </c>
      <c r="M41">
        <v>277062</v>
      </c>
      <c r="N41">
        <v>27152</v>
      </c>
      <c r="O41" t="s">
        <v>23</v>
      </c>
      <c r="P41" t="s">
        <v>24</v>
      </c>
    </row>
    <row r="42" spans="1:16" x14ac:dyDescent="0.3">
      <c r="A42" t="s">
        <v>146</v>
      </c>
      <c r="B42" t="str">
        <f>CONCATENATE(Table1[[#This Row],[First Name]]," ",Table1[[#This Row],[Last Name]])</f>
        <v>Phillip Thompson</v>
      </c>
      <c r="C42" t="s">
        <v>147</v>
      </c>
      <c r="D42" t="s">
        <v>148</v>
      </c>
      <c r="E42" t="s">
        <v>21</v>
      </c>
      <c r="F42">
        <f t="shared" si="4"/>
        <v>21</v>
      </c>
      <c r="G42">
        <v>21</v>
      </c>
      <c r="H42" t="str">
        <f t="shared" si="1"/>
        <v>Unknown</v>
      </c>
      <c r="J42" s="2">
        <f t="shared" si="2"/>
        <v>252076.51219512196</v>
      </c>
      <c r="L42">
        <f t="shared" si="3"/>
        <v>118185</v>
      </c>
      <c r="M42">
        <v>118185</v>
      </c>
      <c r="N42">
        <v>28996</v>
      </c>
      <c r="O42" t="s">
        <v>33</v>
      </c>
      <c r="P42" t="s">
        <v>24</v>
      </c>
    </row>
    <row r="43" spans="1:16" x14ac:dyDescent="0.3">
      <c r="A43" t="s">
        <v>149</v>
      </c>
      <c r="B43" t="str">
        <f>CONCATENATE(Table1[[#This Row],[First Name]]," ",Table1[[#This Row],[Last Name]])</f>
        <v>Denise Holder</v>
      </c>
      <c r="C43" t="s">
        <v>150</v>
      </c>
      <c r="D43" t="s">
        <v>151</v>
      </c>
      <c r="E43" t="s">
        <v>21</v>
      </c>
      <c r="F43">
        <f t="shared" si="4"/>
        <v>53</v>
      </c>
      <c r="G43">
        <v>53</v>
      </c>
      <c r="H43" t="str">
        <f t="shared" si="1"/>
        <v>Female</v>
      </c>
      <c r="I43" t="s">
        <v>22</v>
      </c>
      <c r="J43">
        <f t="shared" si="2"/>
        <v>81993</v>
      </c>
      <c r="K43">
        <v>81993</v>
      </c>
      <c r="L43">
        <f t="shared" si="3"/>
        <v>280761</v>
      </c>
      <c r="M43">
        <v>280761</v>
      </c>
      <c r="N43">
        <v>48115</v>
      </c>
      <c r="O43" t="s">
        <v>16</v>
      </c>
      <c r="P43" t="s">
        <v>24</v>
      </c>
    </row>
    <row r="44" spans="1:16" x14ac:dyDescent="0.3">
      <c r="A44" t="s">
        <v>152</v>
      </c>
      <c r="B44" t="str">
        <f>CONCATENATE(Table1[[#This Row],[First Name]]," ",Table1[[#This Row],[Last Name]])</f>
        <v>Juan Espinoza</v>
      </c>
      <c r="C44" t="s">
        <v>153</v>
      </c>
      <c r="D44" t="s">
        <v>154</v>
      </c>
      <c r="E44" t="s">
        <v>44</v>
      </c>
      <c r="F44">
        <f t="shared" si="4"/>
        <v>33</v>
      </c>
      <c r="G44">
        <v>33</v>
      </c>
      <c r="H44" t="str">
        <f t="shared" si="1"/>
        <v>Unknown</v>
      </c>
      <c r="J44">
        <f t="shared" si="2"/>
        <v>52480</v>
      </c>
      <c r="K44">
        <v>52480</v>
      </c>
      <c r="L44">
        <f t="shared" si="3"/>
        <v>239014</v>
      </c>
      <c r="M44">
        <v>239014</v>
      </c>
      <c r="N44">
        <v>16422</v>
      </c>
      <c r="O44" t="s">
        <v>23</v>
      </c>
      <c r="P44" t="s">
        <v>24</v>
      </c>
    </row>
    <row r="45" spans="1:16" x14ac:dyDescent="0.3">
      <c r="A45" t="s">
        <v>155</v>
      </c>
      <c r="B45" t="str">
        <f>CONCATENATE(Table1[[#This Row],[First Name]]," ",Table1[[#This Row],[Last Name]])</f>
        <v>Amanda Gonzalez</v>
      </c>
      <c r="C45" t="s">
        <v>156</v>
      </c>
      <c r="D45" t="s">
        <v>157</v>
      </c>
      <c r="E45" t="s">
        <v>14</v>
      </c>
      <c r="F45">
        <f t="shared" si="4"/>
        <v>22</v>
      </c>
      <c r="G45">
        <v>22</v>
      </c>
      <c r="H45" t="str">
        <f t="shared" si="1"/>
        <v>Male</v>
      </c>
      <c r="I45" t="s">
        <v>59</v>
      </c>
      <c r="J45">
        <f t="shared" si="2"/>
        <v>23528</v>
      </c>
      <c r="K45">
        <v>23528</v>
      </c>
      <c r="L45">
        <f t="shared" si="3"/>
        <v>7049</v>
      </c>
      <c r="M45">
        <v>7049</v>
      </c>
      <c r="N45">
        <v>145390</v>
      </c>
      <c r="O45" t="s">
        <v>16</v>
      </c>
      <c r="P45" t="s">
        <v>17</v>
      </c>
    </row>
    <row r="46" spans="1:16" x14ac:dyDescent="0.3">
      <c r="A46" t="s">
        <v>158</v>
      </c>
      <c r="B46" t="str">
        <f>CONCATENATE(Table1[[#This Row],[First Name]]," ",Table1[[#This Row],[Last Name]])</f>
        <v>Ann Brooks</v>
      </c>
      <c r="C46" t="s">
        <v>159</v>
      </c>
      <c r="D46" t="s">
        <v>160</v>
      </c>
      <c r="E46" t="s">
        <v>21</v>
      </c>
      <c r="F46">
        <f t="shared" si="4"/>
        <v>37</v>
      </c>
      <c r="G46">
        <v>37</v>
      </c>
      <c r="H46" t="str">
        <f t="shared" si="1"/>
        <v>Male</v>
      </c>
      <c r="I46" t="s">
        <v>59</v>
      </c>
      <c r="J46">
        <f t="shared" si="2"/>
        <v>26321</v>
      </c>
      <c r="K46">
        <v>26321</v>
      </c>
      <c r="L46">
        <f t="shared" si="3"/>
        <v>243195</v>
      </c>
      <c r="M46">
        <v>243195</v>
      </c>
      <c r="N46">
        <v>40977</v>
      </c>
      <c r="O46" t="s">
        <v>16</v>
      </c>
      <c r="P46" t="s">
        <v>17</v>
      </c>
    </row>
    <row r="47" spans="1:16" x14ac:dyDescent="0.3">
      <c r="A47" t="s">
        <v>161</v>
      </c>
      <c r="B47" t="str">
        <f>CONCATENATE(Table1[[#This Row],[First Name]]," ",Table1[[#This Row],[Last Name]])</f>
        <v>Allison Rogers</v>
      </c>
      <c r="C47" t="s">
        <v>98</v>
      </c>
      <c r="D47" t="s">
        <v>162</v>
      </c>
      <c r="E47" t="s">
        <v>44</v>
      </c>
      <c r="F47">
        <f t="shared" si="4"/>
        <v>49</v>
      </c>
      <c r="G47">
        <v>49</v>
      </c>
      <c r="H47" t="str">
        <f t="shared" si="1"/>
        <v>Male</v>
      </c>
      <c r="I47" t="s">
        <v>59</v>
      </c>
      <c r="J47">
        <f t="shared" si="2"/>
        <v>429931</v>
      </c>
      <c r="K47">
        <v>429931</v>
      </c>
      <c r="L47" s="2">
        <f t="shared" si="3"/>
        <v>140398.72727272726</v>
      </c>
      <c r="N47">
        <v>52216</v>
      </c>
      <c r="O47" t="s">
        <v>16</v>
      </c>
      <c r="P47" t="s">
        <v>17</v>
      </c>
    </row>
    <row r="48" spans="1:16" x14ac:dyDescent="0.3">
      <c r="A48" t="s">
        <v>163</v>
      </c>
      <c r="B48" t="str">
        <f>CONCATENATE(Table1[[#This Row],[First Name]]," ",Table1[[#This Row],[Last Name]])</f>
        <v>Vickie Lee</v>
      </c>
      <c r="C48" t="s">
        <v>164</v>
      </c>
      <c r="D48" t="s">
        <v>165</v>
      </c>
      <c r="E48" t="s">
        <v>44</v>
      </c>
      <c r="F48">
        <f t="shared" si="4"/>
        <v>26</v>
      </c>
      <c r="G48">
        <v>26</v>
      </c>
      <c r="H48" t="str">
        <f t="shared" si="1"/>
        <v>Unknown</v>
      </c>
      <c r="J48">
        <f t="shared" si="2"/>
        <v>392441</v>
      </c>
      <c r="K48">
        <v>392441</v>
      </c>
      <c r="L48">
        <f t="shared" si="3"/>
        <v>74216</v>
      </c>
      <c r="M48">
        <v>74216</v>
      </c>
      <c r="N48">
        <v>118625</v>
      </c>
      <c r="O48" t="s">
        <v>33</v>
      </c>
      <c r="P48" t="s">
        <v>24</v>
      </c>
    </row>
    <row r="49" spans="1:16" x14ac:dyDescent="0.3">
      <c r="A49" t="s">
        <v>166</v>
      </c>
      <c r="B49" t="str">
        <f>CONCATENATE(Table1[[#This Row],[First Name]]," ",Table1[[#This Row],[Last Name]])</f>
        <v>Dana Adams</v>
      </c>
      <c r="C49" t="s">
        <v>167</v>
      </c>
      <c r="D49" t="s">
        <v>168</v>
      </c>
      <c r="E49" t="s">
        <v>14</v>
      </c>
      <c r="F49">
        <f t="shared" si="4"/>
        <v>39</v>
      </c>
      <c r="G49">
        <v>39</v>
      </c>
      <c r="H49" t="str">
        <f t="shared" si="1"/>
        <v>Female</v>
      </c>
      <c r="I49" t="s">
        <v>22</v>
      </c>
      <c r="J49">
        <f t="shared" si="2"/>
        <v>58551</v>
      </c>
      <c r="K49">
        <v>58551</v>
      </c>
      <c r="L49">
        <f t="shared" si="3"/>
        <v>277650</v>
      </c>
      <c r="M49">
        <v>277650</v>
      </c>
      <c r="N49">
        <v>136448</v>
      </c>
      <c r="O49" t="s">
        <v>16</v>
      </c>
      <c r="P49" t="s">
        <v>17</v>
      </c>
    </row>
    <row r="50" spans="1:16" x14ac:dyDescent="0.3">
      <c r="A50" t="s">
        <v>169</v>
      </c>
      <c r="B50" t="str">
        <f>CONCATENATE(Table1[[#This Row],[First Name]]," ",Table1[[#This Row],[Last Name]])</f>
        <v>Paula Booth</v>
      </c>
      <c r="C50" t="s">
        <v>170</v>
      </c>
      <c r="D50" t="s">
        <v>171</v>
      </c>
      <c r="E50" t="s">
        <v>58</v>
      </c>
      <c r="F50">
        <f t="shared" si="4"/>
        <v>48</v>
      </c>
      <c r="G50">
        <v>48</v>
      </c>
      <c r="H50" t="str">
        <f t="shared" si="1"/>
        <v>Male</v>
      </c>
      <c r="I50" t="s">
        <v>59</v>
      </c>
      <c r="J50">
        <f t="shared" si="2"/>
        <v>364338</v>
      </c>
      <c r="K50">
        <v>364338</v>
      </c>
      <c r="L50">
        <f t="shared" si="3"/>
        <v>91054</v>
      </c>
      <c r="M50">
        <v>91054</v>
      </c>
      <c r="N50">
        <v>103727</v>
      </c>
      <c r="O50" t="s">
        <v>23</v>
      </c>
      <c r="P50" t="s">
        <v>17</v>
      </c>
    </row>
    <row r="51" spans="1:16" x14ac:dyDescent="0.3">
      <c r="A51" t="s">
        <v>172</v>
      </c>
      <c r="B51" t="str">
        <f>CONCATENATE(Table1[[#This Row],[First Name]]," ",Table1[[#This Row],[Last Name]])</f>
        <v>Gina Johnson</v>
      </c>
      <c r="C51" t="s">
        <v>173</v>
      </c>
      <c r="D51" t="s">
        <v>174</v>
      </c>
      <c r="E51" t="s">
        <v>14</v>
      </c>
      <c r="F51">
        <f t="shared" si="4"/>
        <v>42</v>
      </c>
      <c r="G51">
        <v>42</v>
      </c>
      <c r="H51" t="str">
        <f t="shared" si="1"/>
        <v>Male</v>
      </c>
      <c r="I51" t="s">
        <v>59</v>
      </c>
      <c r="J51" s="2">
        <f t="shared" si="2"/>
        <v>252076.51219512196</v>
      </c>
      <c r="L51">
        <f t="shared" si="3"/>
        <v>136937</v>
      </c>
      <c r="M51">
        <v>136937</v>
      </c>
      <c r="N51">
        <v>132762</v>
      </c>
      <c r="O51" t="s">
        <v>16</v>
      </c>
      <c r="P51" t="s">
        <v>17</v>
      </c>
    </row>
    <row r="52" spans="1:16" x14ac:dyDescent="0.3">
      <c r="A52" t="s">
        <v>175</v>
      </c>
      <c r="B52" t="str">
        <f>CONCATENATE(Table1[[#This Row],[First Name]]," ",Table1[[#This Row],[Last Name]])</f>
        <v>Jamie Jones</v>
      </c>
      <c r="C52" t="s">
        <v>176</v>
      </c>
      <c r="D52" t="s">
        <v>177</v>
      </c>
      <c r="E52" t="s">
        <v>14</v>
      </c>
      <c r="F52">
        <f t="shared" si="4"/>
        <v>53</v>
      </c>
      <c r="G52">
        <v>53</v>
      </c>
      <c r="H52" t="str">
        <f t="shared" si="1"/>
        <v>Male</v>
      </c>
      <c r="I52" t="s">
        <v>59</v>
      </c>
      <c r="J52">
        <f t="shared" si="2"/>
        <v>432454</v>
      </c>
      <c r="K52">
        <v>432454</v>
      </c>
      <c r="L52">
        <f t="shared" si="3"/>
        <v>162456</v>
      </c>
      <c r="M52">
        <v>162456</v>
      </c>
      <c r="N52">
        <v>138809</v>
      </c>
      <c r="O52" t="s">
        <v>33</v>
      </c>
      <c r="P52" t="s">
        <v>24</v>
      </c>
    </row>
    <row r="53" spans="1:16" x14ac:dyDescent="0.3">
      <c r="A53" t="s">
        <v>178</v>
      </c>
      <c r="B53" t="str">
        <f>CONCATENATE(Table1[[#This Row],[First Name]]," ",Table1[[#This Row],[Last Name]])</f>
        <v>Edward Pham</v>
      </c>
      <c r="C53" t="s">
        <v>179</v>
      </c>
      <c r="D53" t="s">
        <v>180</v>
      </c>
      <c r="E53" t="s">
        <v>14</v>
      </c>
      <c r="F53">
        <f t="shared" si="4"/>
        <v>36</v>
      </c>
      <c r="G53">
        <v>36</v>
      </c>
      <c r="H53" t="str">
        <f t="shared" si="1"/>
        <v>Male</v>
      </c>
      <c r="I53" t="s">
        <v>59</v>
      </c>
      <c r="J53">
        <f t="shared" si="2"/>
        <v>498522</v>
      </c>
      <c r="K53">
        <v>498522</v>
      </c>
      <c r="L53">
        <f t="shared" si="3"/>
        <v>128296</v>
      </c>
      <c r="M53">
        <v>128296</v>
      </c>
      <c r="N53">
        <v>102110</v>
      </c>
      <c r="O53" t="s">
        <v>16</v>
      </c>
      <c r="P53" t="s">
        <v>17</v>
      </c>
    </row>
    <row r="54" spans="1:16" x14ac:dyDescent="0.3">
      <c r="A54" t="s">
        <v>181</v>
      </c>
      <c r="B54" t="str">
        <f>CONCATENATE(Table1[[#This Row],[First Name]]," ",Table1[[#This Row],[Last Name]])</f>
        <v>Jack Powell</v>
      </c>
      <c r="C54" t="s">
        <v>182</v>
      </c>
      <c r="D54" t="s">
        <v>183</v>
      </c>
      <c r="E54" t="s">
        <v>21</v>
      </c>
      <c r="F54">
        <f t="shared" si="4"/>
        <v>29</v>
      </c>
      <c r="G54">
        <v>29</v>
      </c>
      <c r="H54" t="str">
        <f t="shared" si="1"/>
        <v>Female</v>
      </c>
      <c r="I54" t="s">
        <v>22</v>
      </c>
      <c r="J54">
        <f t="shared" si="2"/>
        <v>24638</v>
      </c>
      <c r="K54">
        <v>24638</v>
      </c>
      <c r="L54">
        <f t="shared" si="3"/>
        <v>269939</v>
      </c>
      <c r="M54">
        <v>269939</v>
      </c>
      <c r="N54">
        <v>124648</v>
      </c>
      <c r="O54" t="s">
        <v>23</v>
      </c>
      <c r="P54" t="s">
        <v>24</v>
      </c>
    </row>
    <row r="55" spans="1:16" x14ac:dyDescent="0.3">
      <c r="A55" t="s">
        <v>184</v>
      </c>
      <c r="B55" t="str">
        <f>CONCATENATE(Table1[[#This Row],[First Name]]," ",Table1[[#This Row],[Last Name]])</f>
        <v>Kevin Lee</v>
      </c>
      <c r="C55" t="s">
        <v>46</v>
      </c>
      <c r="D55" t="s">
        <v>165</v>
      </c>
      <c r="E55" t="s">
        <v>14</v>
      </c>
      <c r="F55">
        <f t="shared" si="4"/>
        <v>26</v>
      </c>
      <c r="G55">
        <v>26</v>
      </c>
      <c r="H55" t="str">
        <f t="shared" si="1"/>
        <v>Female</v>
      </c>
      <c r="I55" t="s">
        <v>22</v>
      </c>
      <c r="J55">
        <f t="shared" si="2"/>
        <v>154934</v>
      </c>
      <c r="K55">
        <v>154934</v>
      </c>
      <c r="L55">
        <f t="shared" si="3"/>
        <v>59613</v>
      </c>
      <c r="M55">
        <v>59613</v>
      </c>
      <c r="N55">
        <v>70957</v>
      </c>
      <c r="O55" t="s">
        <v>23</v>
      </c>
      <c r="P55" t="s">
        <v>24</v>
      </c>
    </row>
    <row r="56" spans="1:16" x14ac:dyDescent="0.3">
      <c r="A56" t="s">
        <v>185</v>
      </c>
      <c r="B56" t="str">
        <f>CONCATENATE(Table1[[#This Row],[First Name]]," ",Table1[[#This Row],[Last Name]])</f>
        <v>Roger Gonzalez</v>
      </c>
      <c r="C56" t="s">
        <v>186</v>
      </c>
      <c r="D56" t="s">
        <v>157</v>
      </c>
      <c r="E56" t="s">
        <v>21</v>
      </c>
      <c r="F56">
        <f t="shared" si="4"/>
        <v>39</v>
      </c>
      <c r="G56">
        <v>39</v>
      </c>
      <c r="H56" t="str">
        <f t="shared" si="1"/>
        <v>Female</v>
      </c>
      <c r="I56" t="s">
        <v>22</v>
      </c>
      <c r="J56">
        <f t="shared" si="2"/>
        <v>307691</v>
      </c>
      <c r="K56">
        <v>307691</v>
      </c>
      <c r="L56">
        <f t="shared" si="3"/>
        <v>14360</v>
      </c>
      <c r="M56">
        <v>14360</v>
      </c>
      <c r="N56">
        <v>43277</v>
      </c>
      <c r="O56" t="s">
        <v>16</v>
      </c>
      <c r="P56" t="s">
        <v>24</v>
      </c>
    </row>
    <row r="57" spans="1:16" x14ac:dyDescent="0.3">
      <c r="A57" t="s">
        <v>187</v>
      </c>
      <c r="B57" t="str">
        <f>CONCATENATE(Table1[[#This Row],[First Name]]," ",Table1[[#This Row],[Last Name]])</f>
        <v>Andrew Bass</v>
      </c>
      <c r="C57" t="s">
        <v>188</v>
      </c>
      <c r="D57" t="s">
        <v>189</v>
      </c>
      <c r="E57" t="s">
        <v>58</v>
      </c>
      <c r="F57" s="2">
        <f t="shared" si="4"/>
        <v>39.868583162217661</v>
      </c>
      <c r="H57" t="str">
        <f t="shared" si="1"/>
        <v>Male</v>
      </c>
      <c r="I57" t="s">
        <v>59</v>
      </c>
      <c r="J57">
        <f t="shared" si="2"/>
        <v>389788</v>
      </c>
      <c r="K57">
        <v>389788</v>
      </c>
      <c r="L57" s="2">
        <f t="shared" si="3"/>
        <v>111897</v>
      </c>
      <c r="N57">
        <v>21066</v>
      </c>
      <c r="O57" t="s">
        <v>16</v>
      </c>
      <c r="P57" t="s">
        <v>17</v>
      </c>
    </row>
    <row r="58" spans="1:16" x14ac:dyDescent="0.3">
      <c r="A58" t="s">
        <v>190</v>
      </c>
      <c r="B58" t="str">
        <f>CONCATENATE(Table1[[#This Row],[First Name]]," ",Table1[[#This Row],[Last Name]])</f>
        <v>Jasmine Lopez</v>
      </c>
      <c r="C58" t="s">
        <v>191</v>
      </c>
      <c r="D58" t="s">
        <v>192</v>
      </c>
      <c r="E58" t="s">
        <v>21</v>
      </c>
      <c r="F58">
        <f t="shared" si="4"/>
        <v>55</v>
      </c>
      <c r="G58">
        <v>55</v>
      </c>
      <c r="H58" t="str">
        <f t="shared" si="1"/>
        <v>Male</v>
      </c>
      <c r="I58" t="s">
        <v>59</v>
      </c>
      <c r="J58">
        <f t="shared" si="2"/>
        <v>192435</v>
      </c>
      <c r="K58">
        <v>192435</v>
      </c>
      <c r="L58">
        <f t="shared" si="3"/>
        <v>223701</v>
      </c>
      <c r="M58">
        <v>223701</v>
      </c>
      <c r="N58">
        <v>119441</v>
      </c>
      <c r="O58" t="s">
        <v>33</v>
      </c>
      <c r="P58" t="s">
        <v>17</v>
      </c>
    </row>
    <row r="59" spans="1:16" x14ac:dyDescent="0.3">
      <c r="A59" t="s">
        <v>193</v>
      </c>
      <c r="B59" t="str">
        <f>CONCATENATE(Table1[[#This Row],[First Name]]," ",Table1[[#This Row],[Last Name]])</f>
        <v>Melissa Peck</v>
      </c>
      <c r="C59" t="s">
        <v>194</v>
      </c>
      <c r="D59" t="s">
        <v>195</v>
      </c>
      <c r="E59" t="s">
        <v>21</v>
      </c>
      <c r="F59">
        <f t="shared" si="4"/>
        <v>35</v>
      </c>
      <c r="G59">
        <v>35</v>
      </c>
      <c r="H59" t="str">
        <f t="shared" si="1"/>
        <v>Unknown</v>
      </c>
      <c r="J59">
        <f t="shared" si="2"/>
        <v>176061</v>
      </c>
      <c r="K59">
        <v>176061</v>
      </c>
      <c r="L59" s="2">
        <f t="shared" si="3"/>
        <v>133505.5</v>
      </c>
      <c r="N59">
        <v>134466</v>
      </c>
      <c r="O59" t="s">
        <v>16</v>
      </c>
      <c r="P59" t="s">
        <v>24</v>
      </c>
    </row>
    <row r="60" spans="1:16" x14ac:dyDescent="0.3">
      <c r="A60" t="s">
        <v>196</v>
      </c>
      <c r="B60" t="str">
        <f>CONCATENATE(Table1[[#This Row],[First Name]]," ",Table1[[#This Row],[Last Name]])</f>
        <v>Stephen Cordova</v>
      </c>
      <c r="C60" t="s">
        <v>197</v>
      </c>
      <c r="D60" t="s">
        <v>198</v>
      </c>
      <c r="E60" t="s">
        <v>21</v>
      </c>
      <c r="F60">
        <f t="shared" si="4"/>
        <v>25</v>
      </c>
      <c r="G60">
        <v>25</v>
      </c>
      <c r="H60" t="str">
        <f t="shared" si="1"/>
        <v>Male</v>
      </c>
      <c r="I60" t="s">
        <v>59</v>
      </c>
      <c r="J60">
        <f t="shared" si="2"/>
        <v>157455</v>
      </c>
      <c r="K60">
        <v>157455</v>
      </c>
      <c r="L60">
        <f t="shared" si="3"/>
        <v>31863</v>
      </c>
      <c r="M60">
        <v>31863</v>
      </c>
      <c r="N60">
        <v>127242</v>
      </c>
      <c r="O60" t="s">
        <v>16</v>
      </c>
      <c r="P60" t="s">
        <v>24</v>
      </c>
    </row>
    <row r="61" spans="1:16" x14ac:dyDescent="0.3">
      <c r="A61" t="s">
        <v>199</v>
      </c>
      <c r="B61" t="str">
        <f>CONCATENATE(Table1[[#This Row],[First Name]]," ",Table1[[#This Row],[Last Name]])</f>
        <v>Logan Wall</v>
      </c>
      <c r="C61" t="s">
        <v>200</v>
      </c>
      <c r="D61" t="s">
        <v>201</v>
      </c>
      <c r="E61" t="s">
        <v>48</v>
      </c>
      <c r="F61">
        <f t="shared" si="4"/>
        <v>22</v>
      </c>
      <c r="G61">
        <v>22</v>
      </c>
      <c r="H61" t="str">
        <f t="shared" si="1"/>
        <v>Female</v>
      </c>
      <c r="I61" t="s">
        <v>22</v>
      </c>
      <c r="J61">
        <f t="shared" si="2"/>
        <v>391639</v>
      </c>
      <c r="K61">
        <v>391639</v>
      </c>
      <c r="L61">
        <f t="shared" si="3"/>
        <v>27554</v>
      </c>
      <c r="M61">
        <v>27554</v>
      </c>
      <c r="N61">
        <v>100523</v>
      </c>
      <c r="O61" t="s">
        <v>16</v>
      </c>
      <c r="P61" t="s">
        <v>24</v>
      </c>
    </row>
    <row r="62" spans="1:16" x14ac:dyDescent="0.3">
      <c r="A62" t="s">
        <v>202</v>
      </c>
      <c r="B62" t="str">
        <f>CONCATENATE(Table1[[#This Row],[First Name]]," ",Table1[[#This Row],[Last Name]])</f>
        <v>Amy Reed</v>
      </c>
      <c r="C62" t="s">
        <v>203</v>
      </c>
      <c r="D62" t="s">
        <v>204</v>
      </c>
      <c r="E62" t="s">
        <v>14</v>
      </c>
      <c r="F62">
        <f t="shared" si="4"/>
        <v>24</v>
      </c>
      <c r="G62">
        <v>24</v>
      </c>
      <c r="H62" t="str">
        <f t="shared" si="1"/>
        <v>Female</v>
      </c>
      <c r="I62" t="s">
        <v>22</v>
      </c>
      <c r="J62" s="2">
        <f t="shared" si="2"/>
        <v>252076.51219512196</v>
      </c>
      <c r="L62">
        <f t="shared" si="3"/>
        <v>100584</v>
      </c>
      <c r="M62">
        <v>100584</v>
      </c>
      <c r="N62">
        <v>35602</v>
      </c>
      <c r="O62" t="s">
        <v>16</v>
      </c>
      <c r="P62" t="s">
        <v>24</v>
      </c>
    </row>
    <row r="63" spans="1:16" x14ac:dyDescent="0.3">
      <c r="A63" t="s">
        <v>205</v>
      </c>
      <c r="B63" t="str">
        <f>CONCATENATE(Table1[[#This Row],[First Name]]," ",Table1[[#This Row],[Last Name]])</f>
        <v>Tyler Norris</v>
      </c>
      <c r="C63" t="s">
        <v>206</v>
      </c>
      <c r="D63" t="s">
        <v>207</v>
      </c>
      <c r="E63" t="s">
        <v>48</v>
      </c>
      <c r="F63">
        <f t="shared" si="4"/>
        <v>22</v>
      </c>
      <c r="G63">
        <v>22</v>
      </c>
      <c r="H63" t="str">
        <f t="shared" si="1"/>
        <v>Unknown</v>
      </c>
      <c r="J63">
        <f t="shared" si="2"/>
        <v>209286</v>
      </c>
      <c r="K63">
        <v>209286</v>
      </c>
      <c r="L63">
        <f t="shared" si="3"/>
        <v>58952</v>
      </c>
      <c r="M63">
        <v>58952</v>
      </c>
      <c r="N63">
        <v>142309</v>
      </c>
      <c r="O63" t="s">
        <v>33</v>
      </c>
      <c r="P63" t="s">
        <v>17</v>
      </c>
    </row>
    <row r="64" spans="1:16" x14ac:dyDescent="0.3">
      <c r="A64" t="s">
        <v>208</v>
      </c>
      <c r="B64" t="str">
        <f>CONCATENATE(Table1[[#This Row],[First Name]]," ",Table1[[#This Row],[Last Name]])</f>
        <v>Angela Turner</v>
      </c>
      <c r="C64" t="s">
        <v>209</v>
      </c>
      <c r="D64" t="s">
        <v>210</v>
      </c>
      <c r="E64" t="s">
        <v>14</v>
      </c>
      <c r="F64">
        <f t="shared" si="4"/>
        <v>32</v>
      </c>
      <c r="G64">
        <v>32</v>
      </c>
      <c r="H64" t="str">
        <f t="shared" si="1"/>
        <v>Male</v>
      </c>
      <c r="I64" t="s">
        <v>59</v>
      </c>
      <c r="J64">
        <f t="shared" si="2"/>
        <v>320133</v>
      </c>
      <c r="K64">
        <v>320133</v>
      </c>
      <c r="L64">
        <f t="shared" si="3"/>
        <v>68265</v>
      </c>
      <c r="M64">
        <v>68265</v>
      </c>
      <c r="N64">
        <v>96140</v>
      </c>
      <c r="O64" t="s">
        <v>23</v>
      </c>
      <c r="P64" t="s">
        <v>24</v>
      </c>
    </row>
    <row r="65" spans="1:16" x14ac:dyDescent="0.3">
      <c r="A65" t="s">
        <v>211</v>
      </c>
      <c r="B65" t="str">
        <f>CONCATENATE(Table1[[#This Row],[First Name]]," ",Table1[[#This Row],[Last Name]])</f>
        <v>Tammy Miller</v>
      </c>
      <c r="C65" t="s">
        <v>212</v>
      </c>
      <c r="D65" t="s">
        <v>213</v>
      </c>
      <c r="E65" t="s">
        <v>58</v>
      </c>
      <c r="F65">
        <f t="shared" si="4"/>
        <v>40</v>
      </c>
      <c r="G65">
        <v>40</v>
      </c>
      <c r="H65" t="str">
        <f t="shared" si="1"/>
        <v>Female</v>
      </c>
      <c r="I65" t="s">
        <v>22</v>
      </c>
      <c r="J65">
        <f t="shared" si="2"/>
        <v>169071</v>
      </c>
      <c r="K65">
        <v>169071</v>
      </c>
      <c r="L65">
        <f t="shared" si="3"/>
        <v>90389</v>
      </c>
      <c r="M65">
        <v>90389</v>
      </c>
      <c r="N65">
        <v>27537</v>
      </c>
      <c r="O65" t="s">
        <v>23</v>
      </c>
      <c r="P65" t="s">
        <v>17</v>
      </c>
    </row>
    <row r="66" spans="1:16" x14ac:dyDescent="0.3">
      <c r="A66" t="s">
        <v>214</v>
      </c>
      <c r="B66" t="str">
        <f>CONCATENATE(Table1[[#This Row],[First Name]]," ",Table1[[#This Row],[Last Name]])</f>
        <v>Joe Hill</v>
      </c>
      <c r="C66" t="s">
        <v>215</v>
      </c>
      <c r="D66" t="s">
        <v>117</v>
      </c>
      <c r="E66" t="s">
        <v>44</v>
      </c>
      <c r="F66">
        <f t="shared" ref="F66:F129" si="5">IF(G66="", AVERAGE($G$2:$G$501),G66)</f>
        <v>51</v>
      </c>
      <c r="G66">
        <v>51</v>
      </c>
      <c r="H66" t="str">
        <f t="shared" ref="H66:H129" si="6">IF(I66="","Unknown",I66)</f>
        <v>Male</v>
      </c>
      <c r="I66" t="s">
        <v>59</v>
      </c>
      <c r="J66">
        <f t="shared" ref="J66:J129" si="7">IF(K66="",AVERAGE($K$2:$K$501),K66)</f>
        <v>369541</v>
      </c>
      <c r="K66">
        <v>369541</v>
      </c>
      <c r="L66">
        <f t="shared" ref="L66:L129" si="8">IF(M66="",AVERAGEIF($F$2:$F$501,F66,$M$2:$M$501),M66)</f>
        <v>273922</v>
      </c>
      <c r="M66">
        <v>273922</v>
      </c>
      <c r="N66">
        <v>37790</v>
      </c>
      <c r="O66" t="s">
        <v>33</v>
      </c>
      <c r="P66" t="s">
        <v>24</v>
      </c>
    </row>
    <row r="67" spans="1:16" x14ac:dyDescent="0.3">
      <c r="A67" t="s">
        <v>216</v>
      </c>
      <c r="B67" t="str">
        <f>CONCATENATE(Table1[[#This Row],[First Name]]," ",Table1[[#This Row],[Last Name]])</f>
        <v>Elizabeth Smith</v>
      </c>
      <c r="C67" t="s">
        <v>217</v>
      </c>
      <c r="D67" t="s">
        <v>62</v>
      </c>
      <c r="E67" t="s">
        <v>21</v>
      </c>
      <c r="F67">
        <f t="shared" si="5"/>
        <v>34</v>
      </c>
      <c r="G67">
        <v>34</v>
      </c>
      <c r="H67" t="str">
        <f t="shared" si="6"/>
        <v>Male</v>
      </c>
      <c r="I67" t="s">
        <v>59</v>
      </c>
      <c r="J67">
        <f t="shared" si="7"/>
        <v>312648</v>
      </c>
      <c r="K67">
        <v>312648</v>
      </c>
      <c r="L67">
        <f t="shared" si="8"/>
        <v>297858</v>
      </c>
      <c r="M67">
        <v>297858</v>
      </c>
      <c r="N67">
        <v>15872</v>
      </c>
      <c r="O67" t="s">
        <v>23</v>
      </c>
      <c r="P67" t="s">
        <v>24</v>
      </c>
    </row>
    <row r="68" spans="1:16" x14ac:dyDescent="0.3">
      <c r="A68" t="s">
        <v>218</v>
      </c>
      <c r="B68" t="str">
        <f>CONCATENATE(Table1[[#This Row],[First Name]]," ",Table1[[#This Row],[Last Name]])</f>
        <v>Nicole Jones</v>
      </c>
      <c r="C68" t="s">
        <v>219</v>
      </c>
      <c r="D68" t="s">
        <v>177</v>
      </c>
      <c r="E68" t="s">
        <v>58</v>
      </c>
      <c r="F68">
        <f t="shared" si="5"/>
        <v>35</v>
      </c>
      <c r="G68">
        <v>35</v>
      </c>
      <c r="H68" t="str">
        <f t="shared" si="6"/>
        <v>Male</v>
      </c>
      <c r="I68" t="s">
        <v>59</v>
      </c>
      <c r="J68">
        <f t="shared" si="7"/>
        <v>254939</v>
      </c>
      <c r="K68">
        <v>254939</v>
      </c>
      <c r="L68">
        <f t="shared" si="8"/>
        <v>23605</v>
      </c>
      <c r="M68">
        <v>23605</v>
      </c>
      <c r="N68">
        <v>45649</v>
      </c>
      <c r="O68" t="s">
        <v>33</v>
      </c>
      <c r="P68" t="s">
        <v>24</v>
      </c>
    </row>
    <row r="69" spans="1:16" x14ac:dyDescent="0.3">
      <c r="A69" t="s">
        <v>220</v>
      </c>
      <c r="B69" t="str">
        <f>CONCATENATE(Table1[[#This Row],[First Name]]," ",Table1[[#This Row],[Last Name]])</f>
        <v>Whitney Herring</v>
      </c>
      <c r="C69" t="s">
        <v>221</v>
      </c>
      <c r="D69" t="s">
        <v>222</v>
      </c>
      <c r="E69" t="s">
        <v>44</v>
      </c>
      <c r="F69">
        <f t="shared" si="5"/>
        <v>33</v>
      </c>
      <c r="G69">
        <v>33</v>
      </c>
      <c r="H69" t="str">
        <f t="shared" si="6"/>
        <v>Female</v>
      </c>
      <c r="I69" t="s">
        <v>22</v>
      </c>
      <c r="J69">
        <f t="shared" si="7"/>
        <v>499776</v>
      </c>
      <c r="K69">
        <v>499776</v>
      </c>
      <c r="L69">
        <f t="shared" si="8"/>
        <v>135392</v>
      </c>
      <c r="M69">
        <v>135392</v>
      </c>
      <c r="N69">
        <v>37056</v>
      </c>
      <c r="O69" t="s">
        <v>23</v>
      </c>
      <c r="P69" t="s">
        <v>24</v>
      </c>
    </row>
    <row r="70" spans="1:16" x14ac:dyDescent="0.3">
      <c r="A70" t="s">
        <v>223</v>
      </c>
      <c r="B70" t="str">
        <f>CONCATENATE(Table1[[#This Row],[First Name]]," ",Table1[[#This Row],[Last Name]])</f>
        <v>Steven Fisher</v>
      </c>
      <c r="C70" t="s">
        <v>224</v>
      </c>
      <c r="D70" t="s">
        <v>225</v>
      </c>
      <c r="E70" t="s">
        <v>21</v>
      </c>
      <c r="F70">
        <f t="shared" si="5"/>
        <v>50</v>
      </c>
      <c r="G70">
        <v>50</v>
      </c>
      <c r="H70" t="str">
        <f t="shared" si="6"/>
        <v>Male</v>
      </c>
      <c r="I70" t="s">
        <v>59</v>
      </c>
      <c r="J70">
        <f t="shared" si="7"/>
        <v>242966</v>
      </c>
      <c r="K70">
        <v>242966</v>
      </c>
      <c r="L70">
        <f t="shared" si="8"/>
        <v>244312</v>
      </c>
      <c r="M70">
        <v>244312</v>
      </c>
      <c r="N70">
        <v>144112</v>
      </c>
      <c r="O70" t="s">
        <v>23</v>
      </c>
      <c r="P70" t="s">
        <v>17</v>
      </c>
    </row>
    <row r="71" spans="1:16" x14ac:dyDescent="0.3">
      <c r="A71" t="s">
        <v>226</v>
      </c>
      <c r="B71" t="str">
        <f>CONCATENATE(Table1[[#This Row],[First Name]]," ",Table1[[#This Row],[Last Name]])</f>
        <v>Stacy Villegas</v>
      </c>
      <c r="C71" t="s">
        <v>227</v>
      </c>
      <c r="D71" t="s">
        <v>228</v>
      </c>
      <c r="E71" t="s">
        <v>44</v>
      </c>
      <c r="F71">
        <f t="shared" si="5"/>
        <v>51</v>
      </c>
      <c r="G71">
        <v>51</v>
      </c>
      <c r="H71" t="str">
        <f t="shared" si="6"/>
        <v>Female</v>
      </c>
      <c r="I71" t="s">
        <v>22</v>
      </c>
      <c r="J71">
        <f t="shared" si="7"/>
        <v>50013</v>
      </c>
      <c r="K71">
        <v>50013</v>
      </c>
      <c r="L71">
        <f t="shared" si="8"/>
        <v>176423</v>
      </c>
      <c r="M71">
        <v>176423</v>
      </c>
      <c r="N71">
        <v>74597</v>
      </c>
      <c r="O71" t="s">
        <v>16</v>
      </c>
      <c r="P71" t="s">
        <v>17</v>
      </c>
    </row>
    <row r="72" spans="1:16" x14ac:dyDescent="0.3">
      <c r="A72" t="s">
        <v>229</v>
      </c>
      <c r="B72" t="str">
        <f>CONCATENATE(Table1[[#This Row],[First Name]]," ",Table1[[#This Row],[Last Name]])</f>
        <v>Thomas Boyer</v>
      </c>
      <c r="C72" t="s">
        <v>116</v>
      </c>
      <c r="D72" t="s">
        <v>230</v>
      </c>
      <c r="E72" t="s">
        <v>58</v>
      </c>
      <c r="F72">
        <f t="shared" si="5"/>
        <v>31</v>
      </c>
      <c r="G72">
        <v>31</v>
      </c>
      <c r="H72" t="str">
        <f t="shared" si="6"/>
        <v>Female</v>
      </c>
      <c r="I72" t="s">
        <v>22</v>
      </c>
      <c r="J72" s="2">
        <f t="shared" si="7"/>
        <v>252076.51219512196</v>
      </c>
      <c r="L72">
        <f t="shared" si="8"/>
        <v>293560</v>
      </c>
      <c r="M72">
        <v>293560</v>
      </c>
      <c r="N72">
        <v>124760</v>
      </c>
      <c r="O72" t="s">
        <v>23</v>
      </c>
      <c r="P72" t="s">
        <v>24</v>
      </c>
    </row>
    <row r="73" spans="1:16" x14ac:dyDescent="0.3">
      <c r="A73" t="s">
        <v>231</v>
      </c>
      <c r="B73" t="str">
        <f>CONCATENATE(Table1[[#This Row],[First Name]]," ",Table1[[#This Row],[Last Name]])</f>
        <v>James Wise</v>
      </c>
      <c r="C73" t="s">
        <v>232</v>
      </c>
      <c r="D73" t="s">
        <v>233</v>
      </c>
      <c r="E73" t="s">
        <v>21</v>
      </c>
      <c r="F73">
        <f t="shared" si="5"/>
        <v>53</v>
      </c>
      <c r="G73">
        <v>53</v>
      </c>
      <c r="H73" t="str">
        <f t="shared" si="6"/>
        <v>Male</v>
      </c>
      <c r="I73" t="s">
        <v>59</v>
      </c>
      <c r="J73">
        <f t="shared" si="7"/>
        <v>128175</v>
      </c>
      <c r="K73">
        <v>128175</v>
      </c>
      <c r="L73">
        <f t="shared" si="8"/>
        <v>66663</v>
      </c>
      <c r="M73">
        <v>66663</v>
      </c>
      <c r="N73">
        <v>77373</v>
      </c>
      <c r="O73" t="s">
        <v>16</v>
      </c>
      <c r="P73" t="s">
        <v>17</v>
      </c>
    </row>
    <row r="74" spans="1:16" x14ac:dyDescent="0.3">
      <c r="A74" t="s">
        <v>234</v>
      </c>
      <c r="B74" t="str">
        <f>CONCATENATE(Table1[[#This Row],[First Name]]," ",Table1[[#This Row],[Last Name]])</f>
        <v>Jim Tran</v>
      </c>
      <c r="C74" t="s">
        <v>235</v>
      </c>
      <c r="D74" t="s">
        <v>236</v>
      </c>
      <c r="E74" t="s">
        <v>44</v>
      </c>
      <c r="F74">
        <f t="shared" si="5"/>
        <v>38</v>
      </c>
      <c r="G74">
        <v>38</v>
      </c>
      <c r="H74" t="str">
        <f t="shared" si="6"/>
        <v>Female</v>
      </c>
      <c r="I74" t="s">
        <v>22</v>
      </c>
      <c r="J74">
        <f t="shared" si="7"/>
        <v>246560</v>
      </c>
      <c r="K74">
        <v>246560</v>
      </c>
      <c r="L74">
        <f t="shared" si="8"/>
        <v>88354</v>
      </c>
      <c r="M74">
        <v>88354</v>
      </c>
      <c r="N74">
        <v>24069</v>
      </c>
      <c r="O74" t="s">
        <v>33</v>
      </c>
      <c r="P74" t="s">
        <v>17</v>
      </c>
    </row>
    <row r="75" spans="1:16" x14ac:dyDescent="0.3">
      <c r="A75" t="s">
        <v>237</v>
      </c>
      <c r="B75" t="str">
        <f>CONCATENATE(Table1[[#This Row],[First Name]]," ",Table1[[#This Row],[Last Name]])</f>
        <v>Steven Martin</v>
      </c>
      <c r="C75" t="s">
        <v>224</v>
      </c>
      <c r="D75" t="s">
        <v>238</v>
      </c>
      <c r="E75" t="s">
        <v>44</v>
      </c>
      <c r="F75">
        <f t="shared" si="5"/>
        <v>42</v>
      </c>
      <c r="G75">
        <v>42</v>
      </c>
      <c r="H75" t="str">
        <f t="shared" si="6"/>
        <v>Unknown</v>
      </c>
      <c r="J75" s="2">
        <f t="shared" si="7"/>
        <v>252076.51219512196</v>
      </c>
      <c r="L75">
        <f t="shared" si="8"/>
        <v>104525</v>
      </c>
      <c r="M75">
        <v>104525</v>
      </c>
      <c r="N75">
        <v>14252</v>
      </c>
      <c r="O75" t="s">
        <v>23</v>
      </c>
      <c r="P75" t="s">
        <v>24</v>
      </c>
    </row>
    <row r="76" spans="1:16" x14ac:dyDescent="0.3">
      <c r="A76" t="s">
        <v>239</v>
      </c>
      <c r="B76" t="str">
        <f>CONCATENATE(Table1[[#This Row],[First Name]]," ",Table1[[#This Row],[Last Name]])</f>
        <v>Lonnie Harmon</v>
      </c>
      <c r="C76" t="s">
        <v>240</v>
      </c>
      <c r="D76" t="s">
        <v>241</v>
      </c>
      <c r="E76" t="s">
        <v>48</v>
      </c>
      <c r="F76">
        <f t="shared" si="5"/>
        <v>40</v>
      </c>
      <c r="G76">
        <v>40</v>
      </c>
      <c r="H76" t="str">
        <f t="shared" si="6"/>
        <v>Male</v>
      </c>
      <c r="I76" t="s">
        <v>59</v>
      </c>
      <c r="J76">
        <f t="shared" si="7"/>
        <v>303558</v>
      </c>
      <c r="K76">
        <v>303558</v>
      </c>
      <c r="L76">
        <f t="shared" si="8"/>
        <v>255099</v>
      </c>
      <c r="M76">
        <v>255099</v>
      </c>
      <c r="N76">
        <v>47105</v>
      </c>
      <c r="O76" t="s">
        <v>16</v>
      </c>
      <c r="P76" t="s">
        <v>24</v>
      </c>
    </row>
    <row r="77" spans="1:16" x14ac:dyDescent="0.3">
      <c r="A77" t="s">
        <v>242</v>
      </c>
      <c r="B77" t="str">
        <f>CONCATENATE(Table1[[#This Row],[First Name]]," ",Table1[[#This Row],[Last Name]])</f>
        <v>Karen Boone</v>
      </c>
      <c r="C77" t="s">
        <v>30</v>
      </c>
      <c r="D77" t="s">
        <v>243</v>
      </c>
      <c r="E77" t="s">
        <v>48</v>
      </c>
      <c r="F77">
        <f t="shared" si="5"/>
        <v>31</v>
      </c>
      <c r="G77">
        <v>31</v>
      </c>
      <c r="H77" t="str">
        <f t="shared" si="6"/>
        <v>Male</v>
      </c>
      <c r="I77" t="s">
        <v>59</v>
      </c>
      <c r="J77">
        <f t="shared" si="7"/>
        <v>175153</v>
      </c>
      <c r="K77">
        <v>175153</v>
      </c>
      <c r="L77">
        <f t="shared" si="8"/>
        <v>208967</v>
      </c>
      <c r="M77">
        <v>208967</v>
      </c>
      <c r="N77">
        <v>63122</v>
      </c>
      <c r="O77" t="s">
        <v>23</v>
      </c>
      <c r="P77" t="s">
        <v>24</v>
      </c>
    </row>
    <row r="78" spans="1:16" x14ac:dyDescent="0.3">
      <c r="A78" t="s">
        <v>244</v>
      </c>
      <c r="B78" t="str">
        <f>CONCATENATE(Table1[[#This Row],[First Name]]," ",Table1[[#This Row],[Last Name]])</f>
        <v>Sean Jordan</v>
      </c>
      <c r="C78" t="s">
        <v>245</v>
      </c>
      <c r="D78" t="s">
        <v>31</v>
      </c>
      <c r="E78" t="s">
        <v>48</v>
      </c>
      <c r="F78">
        <f t="shared" si="5"/>
        <v>31</v>
      </c>
      <c r="G78">
        <v>31</v>
      </c>
      <c r="H78" t="str">
        <f t="shared" si="6"/>
        <v>Male</v>
      </c>
      <c r="I78" t="s">
        <v>59</v>
      </c>
      <c r="J78">
        <f t="shared" si="7"/>
        <v>65007</v>
      </c>
      <c r="K78">
        <v>65007</v>
      </c>
      <c r="L78" s="2">
        <f t="shared" si="8"/>
        <v>184413.71428571429</v>
      </c>
      <c r="N78">
        <v>97917</v>
      </c>
      <c r="O78" t="s">
        <v>33</v>
      </c>
      <c r="P78" t="s">
        <v>17</v>
      </c>
    </row>
    <row r="79" spans="1:16" x14ac:dyDescent="0.3">
      <c r="A79" t="s">
        <v>246</v>
      </c>
      <c r="B79" t="str">
        <f>CONCATENATE(Table1[[#This Row],[First Name]]," ",Table1[[#This Row],[Last Name]])</f>
        <v>John Mack</v>
      </c>
      <c r="C79" t="s">
        <v>80</v>
      </c>
      <c r="D79" t="s">
        <v>247</v>
      </c>
      <c r="E79" t="s">
        <v>58</v>
      </c>
      <c r="F79">
        <f t="shared" si="5"/>
        <v>54</v>
      </c>
      <c r="G79">
        <v>54</v>
      </c>
      <c r="H79" t="str">
        <f t="shared" si="6"/>
        <v>Unknown</v>
      </c>
      <c r="J79">
        <f t="shared" si="7"/>
        <v>240234</v>
      </c>
      <c r="K79">
        <v>240234</v>
      </c>
      <c r="L79">
        <f t="shared" si="8"/>
        <v>292742</v>
      </c>
      <c r="M79">
        <v>292742</v>
      </c>
      <c r="N79">
        <v>58877</v>
      </c>
      <c r="O79" t="s">
        <v>33</v>
      </c>
      <c r="P79" t="s">
        <v>17</v>
      </c>
    </row>
    <row r="80" spans="1:16" x14ac:dyDescent="0.3">
      <c r="A80" t="s">
        <v>248</v>
      </c>
      <c r="B80" t="str">
        <f>CONCATENATE(Table1[[#This Row],[First Name]]," ",Table1[[#This Row],[Last Name]])</f>
        <v>Willie Anderson</v>
      </c>
      <c r="C80" t="s">
        <v>249</v>
      </c>
      <c r="D80" t="s">
        <v>54</v>
      </c>
      <c r="E80" t="s">
        <v>44</v>
      </c>
      <c r="F80">
        <f t="shared" si="5"/>
        <v>39</v>
      </c>
      <c r="G80">
        <v>39</v>
      </c>
      <c r="H80" t="str">
        <f t="shared" si="6"/>
        <v>Male</v>
      </c>
      <c r="I80" t="s">
        <v>59</v>
      </c>
      <c r="J80">
        <f t="shared" si="7"/>
        <v>365810</v>
      </c>
      <c r="K80">
        <v>365810</v>
      </c>
      <c r="L80">
        <f t="shared" si="8"/>
        <v>280288</v>
      </c>
      <c r="M80">
        <v>280288</v>
      </c>
      <c r="N80">
        <v>104256</v>
      </c>
      <c r="O80" t="s">
        <v>23</v>
      </c>
      <c r="P80" t="s">
        <v>17</v>
      </c>
    </row>
    <row r="81" spans="1:16" x14ac:dyDescent="0.3">
      <c r="A81" t="s">
        <v>250</v>
      </c>
      <c r="B81" t="str">
        <f>CONCATENATE(Table1[[#This Row],[First Name]]," ",Table1[[#This Row],[Last Name]])</f>
        <v>Dustin Silva</v>
      </c>
      <c r="C81" t="s">
        <v>85</v>
      </c>
      <c r="D81" t="s">
        <v>251</v>
      </c>
      <c r="E81" t="s">
        <v>48</v>
      </c>
      <c r="F81">
        <f t="shared" si="5"/>
        <v>42</v>
      </c>
      <c r="G81">
        <v>42</v>
      </c>
      <c r="H81" t="str">
        <f t="shared" si="6"/>
        <v>Male</v>
      </c>
      <c r="I81" t="s">
        <v>59</v>
      </c>
      <c r="J81">
        <f t="shared" si="7"/>
        <v>271152</v>
      </c>
      <c r="K81">
        <v>271152</v>
      </c>
      <c r="L81">
        <f t="shared" si="8"/>
        <v>123703</v>
      </c>
      <c r="M81">
        <v>123703</v>
      </c>
      <c r="N81">
        <v>41784</v>
      </c>
      <c r="O81" t="s">
        <v>16</v>
      </c>
      <c r="P81" t="s">
        <v>17</v>
      </c>
    </row>
    <row r="82" spans="1:16" x14ac:dyDescent="0.3">
      <c r="A82" t="s">
        <v>252</v>
      </c>
      <c r="B82" t="str">
        <f>CONCATENATE(Table1[[#This Row],[First Name]]," ",Table1[[#This Row],[Last Name]])</f>
        <v>Karen Atkins</v>
      </c>
      <c r="C82" t="s">
        <v>30</v>
      </c>
      <c r="D82" t="s">
        <v>253</v>
      </c>
      <c r="E82" t="s">
        <v>21</v>
      </c>
      <c r="F82">
        <f t="shared" si="5"/>
        <v>26</v>
      </c>
      <c r="G82">
        <v>26</v>
      </c>
      <c r="H82" t="str">
        <f t="shared" si="6"/>
        <v>Unknown</v>
      </c>
      <c r="J82">
        <f t="shared" si="7"/>
        <v>276817</v>
      </c>
      <c r="K82">
        <v>276817</v>
      </c>
      <c r="L82">
        <f t="shared" si="8"/>
        <v>21940</v>
      </c>
      <c r="M82">
        <v>21940</v>
      </c>
      <c r="N82">
        <v>121421</v>
      </c>
      <c r="O82" t="s">
        <v>33</v>
      </c>
      <c r="P82" t="s">
        <v>24</v>
      </c>
    </row>
    <row r="83" spans="1:16" x14ac:dyDescent="0.3">
      <c r="A83" t="s">
        <v>254</v>
      </c>
      <c r="B83" t="str">
        <f>CONCATENATE(Table1[[#This Row],[First Name]]," ",Table1[[#This Row],[Last Name]])</f>
        <v>Crystal Harris</v>
      </c>
      <c r="C83" t="s">
        <v>255</v>
      </c>
      <c r="D83" t="s">
        <v>256</v>
      </c>
      <c r="E83" t="s">
        <v>44</v>
      </c>
      <c r="F83">
        <f t="shared" si="5"/>
        <v>48</v>
      </c>
      <c r="G83">
        <v>48</v>
      </c>
      <c r="H83" t="str">
        <f t="shared" si="6"/>
        <v>Female</v>
      </c>
      <c r="I83" t="s">
        <v>22</v>
      </c>
      <c r="J83">
        <f t="shared" si="7"/>
        <v>162326</v>
      </c>
      <c r="K83">
        <v>162326</v>
      </c>
      <c r="L83">
        <f t="shared" si="8"/>
        <v>33262</v>
      </c>
      <c r="M83">
        <v>33262</v>
      </c>
      <c r="N83">
        <v>11683</v>
      </c>
      <c r="O83" t="s">
        <v>23</v>
      </c>
      <c r="P83" t="s">
        <v>17</v>
      </c>
    </row>
    <row r="84" spans="1:16" x14ac:dyDescent="0.3">
      <c r="A84" t="s">
        <v>257</v>
      </c>
      <c r="B84" t="str">
        <f>CONCATENATE(Table1[[#This Row],[First Name]]," ",Table1[[#This Row],[Last Name]])</f>
        <v>James Murphy</v>
      </c>
      <c r="C84" t="s">
        <v>232</v>
      </c>
      <c r="D84" t="s">
        <v>258</v>
      </c>
      <c r="E84" t="s">
        <v>58</v>
      </c>
      <c r="F84">
        <f t="shared" si="5"/>
        <v>44</v>
      </c>
      <c r="G84">
        <v>44</v>
      </c>
      <c r="H84" t="str">
        <f t="shared" si="6"/>
        <v>Female</v>
      </c>
      <c r="I84" t="s">
        <v>22</v>
      </c>
      <c r="J84">
        <f t="shared" si="7"/>
        <v>26693</v>
      </c>
      <c r="K84">
        <v>26693</v>
      </c>
      <c r="L84">
        <f t="shared" si="8"/>
        <v>164325</v>
      </c>
      <c r="M84">
        <v>164325</v>
      </c>
      <c r="N84">
        <v>59378</v>
      </c>
      <c r="O84" t="s">
        <v>23</v>
      </c>
      <c r="P84" t="s">
        <v>17</v>
      </c>
    </row>
    <row r="85" spans="1:16" x14ac:dyDescent="0.3">
      <c r="A85" t="s">
        <v>259</v>
      </c>
      <c r="B85" t="str">
        <f>CONCATENATE(Table1[[#This Row],[First Name]]," ",Table1[[#This Row],[Last Name]])</f>
        <v>Ashley Crawford</v>
      </c>
      <c r="C85" t="s">
        <v>260</v>
      </c>
      <c r="D85" t="s">
        <v>261</v>
      </c>
      <c r="E85" t="s">
        <v>21</v>
      </c>
      <c r="F85">
        <f t="shared" si="5"/>
        <v>22</v>
      </c>
      <c r="G85">
        <v>22</v>
      </c>
      <c r="H85" t="str">
        <f t="shared" si="6"/>
        <v>Female</v>
      </c>
      <c r="I85" t="s">
        <v>22</v>
      </c>
      <c r="J85">
        <f t="shared" si="7"/>
        <v>253095</v>
      </c>
      <c r="K85">
        <v>253095</v>
      </c>
      <c r="L85">
        <f t="shared" si="8"/>
        <v>151123</v>
      </c>
      <c r="M85">
        <v>151123</v>
      </c>
      <c r="N85">
        <v>16393</v>
      </c>
      <c r="O85" t="s">
        <v>16</v>
      </c>
      <c r="P85" t="s">
        <v>24</v>
      </c>
    </row>
    <row r="86" spans="1:16" x14ac:dyDescent="0.3">
      <c r="A86" t="s">
        <v>262</v>
      </c>
      <c r="B86" t="str">
        <f>CONCATENATE(Table1[[#This Row],[First Name]]," ",Table1[[#This Row],[Last Name]])</f>
        <v>Nicole Ellison</v>
      </c>
      <c r="C86" t="s">
        <v>219</v>
      </c>
      <c r="D86" t="s">
        <v>263</v>
      </c>
      <c r="E86" t="s">
        <v>44</v>
      </c>
      <c r="F86">
        <f t="shared" si="5"/>
        <v>50</v>
      </c>
      <c r="G86">
        <v>50</v>
      </c>
      <c r="H86" t="str">
        <f t="shared" si="6"/>
        <v>Female</v>
      </c>
      <c r="I86" t="s">
        <v>22</v>
      </c>
      <c r="J86" s="2">
        <f t="shared" si="7"/>
        <v>252076.51219512196</v>
      </c>
      <c r="L86">
        <f t="shared" si="8"/>
        <v>191793</v>
      </c>
      <c r="M86">
        <v>191793</v>
      </c>
      <c r="N86">
        <v>73677</v>
      </c>
      <c r="O86" t="s">
        <v>33</v>
      </c>
      <c r="P86" t="s">
        <v>24</v>
      </c>
    </row>
    <row r="87" spans="1:16" x14ac:dyDescent="0.3">
      <c r="A87" t="s">
        <v>264</v>
      </c>
      <c r="B87" t="str">
        <f>CONCATENATE(Table1[[#This Row],[First Name]]," ",Table1[[#This Row],[Last Name]])</f>
        <v>Sandra Burns</v>
      </c>
      <c r="C87" t="s">
        <v>141</v>
      </c>
      <c r="D87" t="s">
        <v>265</v>
      </c>
      <c r="E87" t="s">
        <v>21</v>
      </c>
      <c r="F87">
        <f t="shared" si="5"/>
        <v>29</v>
      </c>
      <c r="G87">
        <v>29</v>
      </c>
      <c r="H87" t="str">
        <f t="shared" si="6"/>
        <v>Male</v>
      </c>
      <c r="I87" t="s">
        <v>59</v>
      </c>
      <c r="J87">
        <f t="shared" si="7"/>
        <v>465709</v>
      </c>
      <c r="K87">
        <v>465709</v>
      </c>
      <c r="L87">
        <f t="shared" si="8"/>
        <v>273873</v>
      </c>
      <c r="M87">
        <v>273873</v>
      </c>
      <c r="N87">
        <v>80064</v>
      </c>
      <c r="O87" t="s">
        <v>33</v>
      </c>
      <c r="P87" t="s">
        <v>17</v>
      </c>
    </row>
    <row r="88" spans="1:16" x14ac:dyDescent="0.3">
      <c r="A88" t="s">
        <v>266</v>
      </c>
      <c r="B88" t="str">
        <f>CONCATENATE(Table1[[#This Row],[First Name]]," ",Table1[[#This Row],[Last Name]])</f>
        <v>Robert Martin</v>
      </c>
      <c r="C88" t="s">
        <v>267</v>
      </c>
      <c r="D88" t="s">
        <v>238</v>
      </c>
      <c r="E88" t="s">
        <v>58</v>
      </c>
      <c r="F88">
        <f t="shared" si="5"/>
        <v>26</v>
      </c>
      <c r="G88">
        <v>26</v>
      </c>
      <c r="H88" t="str">
        <f t="shared" si="6"/>
        <v>Male</v>
      </c>
      <c r="I88" t="s">
        <v>59</v>
      </c>
      <c r="J88">
        <f t="shared" si="7"/>
        <v>243375</v>
      </c>
      <c r="K88">
        <v>243375</v>
      </c>
      <c r="L88" s="2">
        <f t="shared" si="8"/>
        <v>144627.29999999999</v>
      </c>
      <c r="N88">
        <v>103915</v>
      </c>
      <c r="O88" t="s">
        <v>23</v>
      </c>
      <c r="P88" t="s">
        <v>24</v>
      </c>
    </row>
    <row r="89" spans="1:16" x14ac:dyDescent="0.3">
      <c r="A89" t="s">
        <v>268</v>
      </c>
      <c r="B89" t="str">
        <f>CONCATENATE(Table1[[#This Row],[First Name]]," ",Table1[[#This Row],[Last Name]])</f>
        <v>Victor Delacruz</v>
      </c>
      <c r="C89" t="s">
        <v>269</v>
      </c>
      <c r="D89" t="s">
        <v>270</v>
      </c>
      <c r="E89" t="s">
        <v>14</v>
      </c>
      <c r="F89">
        <f t="shared" si="5"/>
        <v>50</v>
      </c>
      <c r="G89">
        <v>50</v>
      </c>
      <c r="H89" t="str">
        <f t="shared" si="6"/>
        <v>Unknown</v>
      </c>
      <c r="J89">
        <f t="shared" si="7"/>
        <v>319309</v>
      </c>
      <c r="K89">
        <v>319309</v>
      </c>
      <c r="L89">
        <f t="shared" si="8"/>
        <v>70456</v>
      </c>
      <c r="M89">
        <v>70456</v>
      </c>
      <c r="N89">
        <v>47810</v>
      </c>
      <c r="O89" t="s">
        <v>23</v>
      </c>
      <c r="P89" t="s">
        <v>24</v>
      </c>
    </row>
    <row r="90" spans="1:16" x14ac:dyDescent="0.3">
      <c r="A90" t="s">
        <v>271</v>
      </c>
      <c r="B90" t="str">
        <f>CONCATENATE(Table1[[#This Row],[First Name]]," ",Table1[[#This Row],[Last Name]])</f>
        <v>Willie Brown</v>
      </c>
      <c r="C90" t="s">
        <v>249</v>
      </c>
      <c r="D90" t="s">
        <v>89</v>
      </c>
      <c r="E90" t="s">
        <v>58</v>
      </c>
      <c r="F90">
        <f t="shared" si="5"/>
        <v>52</v>
      </c>
      <c r="G90">
        <v>52</v>
      </c>
      <c r="H90" t="str">
        <f t="shared" si="6"/>
        <v>Male</v>
      </c>
      <c r="I90" t="s">
        <v>59</v>
      </c>
      <c r="J90">
        <f t="shared" si="7"/>
        <v>478333</v>
      </c>
      <c r="K90">
        <v>478333</v>
      </c>
      <c r="L90">
        <f t="shared" si="8"/>
        <v>15424</v>
      </c>
      <c r="M90">
        <v>15424</v>
      </c>
      <c r="N90">
        <v>96576</v>
      </c>
      <c r="O90" t="s">
        <v>33</v>
      </c>
      <c r="P90" t="s">
        <v>24</v>
      </c>
    </row>
    <row r="91" spans="1:16" x14ac:dyDescent="0.3">
      <c r="A91" t="s">
        <v>272</v>
      </c>
      <c r="B91" t="str">
        <f>CONCATENATE(Table1[[#This Row],[First Name]]," ",Table1[[#This Row],[Last Name]])</f>
        <v>Ryan Watson</v>
      </c>
      <c r="C91" t="s">
        <v>35</v>
      </c>
      <c r="D91" t="s">
        <v>20</v>
      </c>
      <c r="E91" t="s">
        <v>58</v>
      </c>
      <c r="F91">
        <f t="shared" si="5"/>
        <v>58</v>
      </c>
      <c r="G91">
        <v>58</v>
      </c>
      <c r="H91" t="str">
        <f t="shared" si="6"/>
        <v>Female</v>
      </c>
      <c r="I91" t="s">
        <v>22</v>
      </c>
      <c r="J91">
        <f t="shared" si="7"/>
        <v>259971</v>
      </c>
      <c r="K91">
        <v>259971</v>
      </c>
      <c r="L91">
        <f t="shared" si="8"/>
        <v>86493</v>
      </c>
      <c r="M91">
        <v>86493</v>
      </c>
      <c r="N91">
        <v>35064</v>
      </c>
      <c r="O91" t="s">
        <v>23</v>
      </c>
      <c r="P91" t="s">
        <v>17</v>
      </c>
    </row>
    <row r="92" spans="1:16" x14ac:dyDescent="0.3">
      <c r="A92" t="s">
        <v>273</v>
      </c>
      <c r="B92" t="str">
        <f>CONCATENATE(Table1[[#This Row],[First Name]]," ",Table1[[#This Row],[Last Name]])</f>
        <v>Grace Kennedy</v>
      </c>
      <c r="C92" t="s">
        <v>274</v>
      </c>
      <c r="D92" t="s">
        <v>275</v>
      </c>
      <c r="E92" t="s">
        <v>14</v>
      </c>
      <c r="F92">
        <f t="shared" si="5"/>
        <v>37</v>
      </c>
      <c r="G92">
        <v>37</v>
      </c>
      <c r="H92" t="str">
        <f t="shared" si="6"/>
        <v>Female</v>
      </c>
      <c r="I92" t="s">
        <v>22</v>
      </c>
      <c r="J92">
        <f t="shared" si="7"/>
        <v>244438</v>
      </c>
      <c r="K92">
        <v>244438</v>
      </c>
      <c r="L92">
        <f t="shared" si="8"/>
        <v>198147</v>
      </c>
      <c r="M92">
        <v>198147</v>
      </c>
      <c r="N92">
        <v>18978</v>
      </c>
      <c r="O92" t="s">
        <v>23</v>
      </c>
      <c r="P92" t="s">
        <v>24</v>
      </c>
    </row>
    <row r="93" spans="1:16" x14ac:dyDescent="0.3">
      <c r="A93" t="s">
        <v>276</v>
      </c>
      <c r="B93" t="str">
        <f>CONCATENATE(Table1[[#This Row],[First Name]]," ",Table1[[#This Row],[Last Name]])</f>
        <v>Gabriela Keller</v>
      </c>
      <c r="C93" t="s">
        <v>277</v>
      </c>
      <c r="D93" t="s">
        <v>278</v>
      </c>
      <c r="E93" t="s">
        <v>21</v>
      </c>
      <c r="F93">
        <f t="shared" si="5"/>
        <v>44</v>
      </c>
      <c r="G93">
        <v>44</v>
      </c>
      <c r="H93" t="str">
        <f t="shared" si="6"/>
        <v>Male</v>
      </c>
      <c r="I93" t="s">
        <v>59</v>
      </c>
      <c r="J93">
        <f t="shared" si="7"/>
        <v>191107</v>
      </c>
      <c r="K93">
        <v>191107</v>
      </c>
      <c r="L93">
        <f t="shared" si="8"/>
        <v>18042</v>
      </c>
      <c r="M93">
        <v>18042</v>
      </c>
      <c r="N93">
        <v>95357</v>
      </c>
      <c r="O93" t="s">
        <v>33</v>
      </c>
      <c r="P93" t="s">
        <v>24</v>
      </c>
    </row>
    <row r="94" spans="1:16" x14ac:dyDescent="0.3">
      <c r="A94" t="s">
        <v>279</v>
      </c>
      <c r="B94" t="str">
        <f>CONCATENATE(Table1[[#This Row],[First Name]]," ",Table1[[#This Row],[Last Name]])</f>
        <v>Juan Smith</v>
      </c>
      <c r="C94" t="s">
        <v>153</v>
      </c>
      <c r="D94" t="s">
        <v>62</v>
      </c>
      <c r="E94" t="s">
        <v>14</v>
      </c>
      <c r="F94">
        <f t="shared" si="5"/>
        <v>46</v>
      </c>
      <c r="G94">
        <v>46</v>
      </c>
      <c r="H94" t="str">
        <f t="shared" si="6"/>
        <v>Male</v>
      </c>
      <c r="I94" t="s">
        <v>59</v>
      </c>
      <c r="J94">
        <f t="shared" si="7"/>
        <v>26630</v>
      </c>
      <c r="K94">
        <v>26630</v>
      </c>
      <c r="L94">
        <f t="shared" si="8"/>
        <v>44901</v>
      </c>
      <c r="M94">
        <v>44901</v>
      </c>
      <c r="N94">
        <v>141490</v>
      </c>
      <c r="O94" t="s">
        <v>16</v>
      </c>
      <c r="P94" t="s">
        <v>24</v>
      </c>
    </row>
    <row r="95" spans="1:16" x14ac:dyDescent="0.3">
      <c r="A95" t="s">
        <v>280</v>
      </c>
      <c r="B95" t="str">
        <f>CONCATENATE(Table1[[#This Row],[First Name]]," ",Table1[[#This Row],[Last Name]])</f>
        <v>Sara Larson</v>
      </c>
      <c r="C95" t="s">
        <v>281</v>
      </c>
      <c r="D95" t="s">
        <v>282</v>
      </c>
      <c r="E95" t="s">
        <v>48</v>
      </c>
      <c r="F95">
        <f t="shared" si="5"/>
        <v>36</v>
      </c>
      <c r="G95">
        <v>36</v>
      </c>
      <c r="H95" t="str">
        <f t="shared" si="6"/>
        <v>Female</v>
      </c>
      <c r="I95" t="s">
        <v>22</v>
      </c>
      <c r="J95">
        <f t="shared" si="7"/>
        <v>489137</v>
      </c>
      <c r="K95">
        <v>489137</v>
      </c>
      <c r="L95">
        <f t="shared" si="8"/>
        <v>10926</v>
      </c>
      <c r="M95">
        <v>10926</v>
      </c>
      <c r="N95">
        <v>147692</v>
      </c>
      <c r="O95" t="s">
        <v>23</v>
      </c>
      <c r="P95" t="s">
        <v>24</v>
      </c>
    </row>
    <row r="96" spans="1:16" x14ac:dyDescent="0.3">
      <c r="A96" t="s">
        <v>283</v>
      </c>
      <c r="B96" t="str">
        <f>CONCATENATE(Table1[[#This Row],[First Name]]," ",Table1[[#This Row],[Last Name]])</f>
        <v>Joshua Smith</v>
      </c>
      <c r="C96" t="s">
        <v>284</v>
      </c>
      <c r="D96" t="s">
        <v>62</v>
      </c>
      <c r="E96" t="s">
        <v>44</v>
      </c>
      <c r="F96">
        <f t="shared" si="5"/>
        <v>22</v>
      </c>
      <c r="G96">
        <v>22</v>
      </c>
      <c r="H96" t="str">
        <f t="shared" si="6"/>
        <v>Female</v>
      </c>
      <c r="I96" t="s">
        <v>22</v>
      </c>
      <c r="J96">
        <f t="shared" si="7"/>
        <v>157271</v>
      </c>
      <c r="K96">
        <v>157271</v>
      </c>
      <c r="L96">
        <f t="shared" si="8"/>
        <v>282313</v>
      </c>
      <c r="M96">
        <v>282313</v>
      </c>
      <c r="N96">
        <v>76580</v>
      </c>
      <c r="O96" t="s">
        <v>16</v>
      </c>
      <c r="P96" t="s">
        <v>17</v>
      </c>
    </row>
    <row r="97" spans="1:16" x14ac:dyDescent="0.3">
      <c r="A97" t="s">
        <v>285</v>
      </c>
      <c r="B97" t="str">
        <f>CONCATENATE(Table1[[#This Row],[First Name]]," ",Table1[[#This Row],[Last Name]])</f>
        <v>Dennis Owens</v>
      </c>
      <c r="C97" t="s">
        <v>286</v>
      </c>
      <c r="D97" t="s">
        <v>287</v>
      </c>
      <c r="E97" t="s">
        <v>21</v>
      </c>
      <c r="F97">
        <f t="shared" si="5"/>
        <v>52</v>
      </c>
      <c r="G97">
        <v>52</v>
      </c>
      <c r="H97" t="str">
        <f t="shared" si="6"/>
        <v>Female</v>
      </c>
      <c r="I97" t="s">
        <v>22</v>
      </c>
      <c r="J97">
        <f t="shared" si="7"/>
        <v>450848</v>
      </c>
      <c r="K97">
        <v>450848</v>
      </c>
      <c r="L97">
        <f t="shared" si="8"/>
        <v>97292</v>
      </c>
      <c r="M97">
        <v>97292</v>
      </c>
      <c r="N97">
        <v>91197</v>
      </c>
      <c r="O97" t="s">
        <v>33</v>
      </c>
      <c r="P97" t="s">
        <v>17</v>
      </c>
    </row>
    <row r="98" spans="1:16" x14ac:dyDescent="0.3">
      <c r="A98" t="s">
        <v>288</v>
      </c>
      <c r="B98" t="str">
        <f>CONCATENATE(Table1[[#This Row],[First Name]]," ",Table1[[#This Row],[Last Name]])</f>
        <v>Kristin Ross</v>
      </c>
      <c r="C98" t="s">
        <v>289</v>
      </c>
      <c r="D98" t="s">
        <v>290</v>
      </c>
      <c r="E98" t="s">
        <v>58</v>
      </c>
      <c r="F98">
        <f t="shared" si="5"/>
        <v>42</v>
      </c>
      <c r="G98">
        <v>42</v>
      </c>
      <c r="H98" t="str">
        <f t="shared" si="6"/>
        <v>Unknown</v>
      </c>
      <c r="J98">
        <f t="shared" si="7"/>
        <v>342738</v>
      </c>
      <c r="K98">
        <v>342738</v>
      </c>
      <c r="L98">
        <f t="shared" si="8"/>
        <v>3460</v>
      </c>
      <c r="M98">
        <v>3460</v>
      </c>
      <c r="N98">
        <v>89204</v>
      </c>
      <c r="O98" t="s">
        <v>33</v>
      </c>
      <c r="P98" t="s">
        <v>24</v>
      </c>
    </row>
    <row r="99" spans="1:16" x14ac:dyDescent="0.3">
      <c r="A99" t="s">
        <v>291</v>
      </c>
      <c r="B99" t="str">
        <f>CONCATENATE(Table1[[#This Row],[First Name]]," ",Table1[[#This Row],[Last Name]])</f>
        <v>James Trevino</v>
      </c>
      <c r="C99" t="s">
        <v>232</v>
      </c>
      <c r="D99" t="s">
        <v>292</v>
      </c>
      <c r="E99" t="s">
        <v>14</v>
      </c>
      <c r="F99">
        <f t="shared" si="5"/>
        <v>55</v>
      </c>
      <c r="G99">
        <v>55</v>
      </c>
      <c r="H99" t="str">
        <f t="shared" si="6"/>
        <v>Male</v>
      </c>
      <c r="I99" t="s">
        <v>59</v>
      </c>
      <c r="J99">
        <f t="shared" si="7"/>
        <v>440079</v>
      </c>
      <c r="K99">
        <v>440079</v>
      </c>
      <c r="L99">
        <f t="shared" si="8"/>
        <v>79425</v>
      </c>
      <c r="M99">
        <v>79425</v>
      </c>
      <c r="N99">
        <v>92567</v>
      </c>
      <c r="O99" t="s">
        <v>23</v>
      </c>
      <c r="P99" t="s">
        <v>24</v>
      </c>
    </row>
    <row r="100" spans="1:16" x14ac:dyDescent="0.3">
      <c r="A100" t="s">
        <v>293</v>
      </c>
      <c r="B100" t="str">
        <f>CONCATENATE(Table1[[#This Row],[First Name]]," ",Table1[[#This Row],[Last Name]])</f>
        <v>Anthony Roberts</v>
      </c>
      <c r="C100" t="s">
        <v>294</v>
      </c>
      <c r="D100" t="s">
        <v>295</v>
      </c>
      <c r="E100" t="s">
        <v>48</v>
      </c>
      <c r="F100">
        <f t="shared" si="5"/>
        <v>37</v>
      </c>
      <c r="G100">
        <v>37</v>
      </c>
      <c r="H100" t="str">
        <f t="shared" si="6"/>
        <v>Unknown</v>
      </c>
      <c r="J100">
        <f t="shared" si="7"/>
        <v>367420</v>
      </c>
      <c r="K100">
        <v>367420</v>
      </c>
      <c r="L100">
        <f t="shared" si="8"/>
        <v>62562</v>
      </c>
      <c r="M100">
        <v>62562</v>
      </c>
      <c r="N100">
        <v>46449</v>
      </c>
      <c r="O100" t="s">
        <v>23</v>
      </c>
      <c r="P100" t="s">
        <v>17</v>
      </c>
    </row>
    <row r="101" spans="1:16" x14ac:dyDescent="0.3">
      <c r="A101" t="s">
        <v>296</v>
      </c>
      <c r="B101" t="str">
        <f>CONCATENATE(Table1[[#This Row],[First Name]]," ",Table1[[#This Row],[Last Name]])</f>
        <v>Cory Lee</v>
      </c>
      <c r="C101" t="s">
        <v>297</v>
      </c>
      <c r="D101" t="s">
        <v>165</v>
      </c>
      <c r="E101" t="s">
        <v>44</v>
      </c>
      <c r="F101">
        <f t="shared" si="5"/>
        <v>36</v>
      </c>
      <c r="G101">
        <v>36</v>
      </c>
      <c r="H101" t="str">
        <f t="shared" si="6"/>
        <v>Female</v>
      </c>
      <c r="I101" t="s">
        <v>22</v>
      </c>
      <c r="J101">
        <f t="shared" si="7"/>
        <v>231646</v>
      </c>
      <c r="K101">
        <v>231646</v>
      </c>
      <c r="L101">
        <f t="shared" si="8"/>
        <v>257042</v>
      </c>
      <c r="M101">
        <v>257042</v>
      </c>
      <c r="N101">
        <v>42793</v>
      </c>
      <c r="O101" t="s">
        <v>23</v>
      </c>
      <c r="P101" t="s">
        <v>24</v>
      </c>
    </row>
    <row r="102" spans="1:16" x14ac:dyDescent="0.3">
      <c r="A102" t="s">
        <v>298</v>
      </c>
      <c r="B102" t="str">
        <f>CONCATENATE(Table1[[#This Row],[First Name]]," ",Table1[[#This Row],[Last Name]])</f>
        <v>Shane Sanders</v>
      </c>
      <c r="C102" t="s">
        <v>299</v>
      </c>
      <c r="D102" t="s">
        <v>300</v>
      </c>
      <c r="E102" t="s">
        <v>48</v>
      </c>
      <c r="F102">
        <f t="shared" si="5"/>
        <v>45</v>
      </c>
      <c r="G102">
        <v>45</v>
      </c>
      <c r="H102" t="str">
        <f t="shared" si="6"/>
        <v>Male</v>
      </c>
      <c r="I102" t="s">
        <v>59</v>
      </c>
      <c r="J102">
        <f t="shared" si="7"/>
        <v>374377</v>
      </c>
      <c r="K102">
        <v>374377</v>
      </c>
      <c r="L102">
        <f t="shared" si="8"/>
        <v>224721</v>
      </c>
      <c r="M102">
        <v>224721</v>
      </c>
      <c r="N102">
        <v>13573</v>
      </c>
      <c r="O102" t="s">
        <v>16</v>
      </c>
      <c r="P102" t="s">
        <v>24</v>
      </c>
    </row>
    <row r="103" spans="1:16" x14ac:dyDescent="0.3">
      <c r="A103" t="s">
        <v>301</v>
      </c>
      <c r="B103" t="str">
        <f>CONCATENATE(Table1[[#This Row],[First Name]]," ",Table1[[#This Row],[Last Name]])</f>
        <v>Chloe Shepard</v>
      </c>
      <c r="C103" t="s">
        <v>302</v>
      </c>
      <c r="D103" t="s">
        <v>303</v>
      </c>
      <c r="E103" t="s">
        <v>21</v>
      </c>
      <c r="F103">
        <f t="shared" si="5"/>
        <v>35</v>
      </c>
      <c r="G103">
        <v>35</v>
      </c>
      <c r="H103" t="str">
        <f t="shared" si="6"/>
        <v>Female</v>
      </c>
      <c r="I103" t="s">
        <v>22</v>
      </c>
      <c r="J103">
        <f t="shared" si="7"/>
        <v>114889</v>
      </c>
      <c r="K103">
        <v>114889</v>
      </c>
      <c r="L103">
        <f t="shared" si="8"/>
        <v>170333</v>
      </c>
      <c r="M103">
        <v>170333</v>
      </c>
      <c r="N103">
        <v>52787</v>
      </c>
      <c r="O103" t="s">
        <v>33</v>
      </c>
      <c r="P103" t="s">
        <v>24</v>
      </c>
    </row>
    <row r="104" spans="1:16" x14ac:dyDescent="0.3">
      <c r="A104" t="s">
        <v>304</v>
      </c>
      <c r="B104" t="str">
        <f>CONCATENATE(Table1[[#This Row],[First Name]]," ",Table1[[#This Row],[Last Name]])</f>
        <v>Breanna Cline</v>
      </c>
      <c r="C104" t="s">
        <v>305</v>
      </c>
      <c r="D104" t="s">
        <v>306</v>
      </c>
      <c r="E104" t="s">
        <v>48</v>
      </c>
      <c r="F104">
        <f t="shared" si="5"/>
        <v>44</v>
      </c>
      <c r="G104">
        <v>44</v>
      </c>
      <c r="H104" t="str">
        <f t="shared" si="6"/>
        <v>Unknown</v>
      </c>
      <c r="J104">
        <f t="shared" si="7"/>
        <v>8871</v>
      </c>
      <c r="K104">
        <v>8871</v>
      </c>
      <c r="L104">
        <f t="shared" si="8"/>
        <v>143048</v>
      </c>
      <c r="M104">
        <v>143048</v>
      </c>
      <c r="N104">
        <v>136897</v>
      </c>
      <c r="O104" t="s">
        <v>23</v>
      </c>
      <c r="P104" t="s">
        <v>17</v>
      </c>
    </row>
    <row r="105" spans="1:16" x14ac:dyDescent="0.3">
      <c r="A105" t="s">
        <v>307</v>
      </c>
      <c r="B105" t="str">
        <f>CONCATENATE(Table1[[#This Row],[First Name]]," ",Table1[[#This Row],[Last Name]])</f>
        <v>Kara Lewis</v>
      </c>
      <c r="C105" t="s">
        <v>308</v>
      </c>
      <c r="D105" t="s">
        <v>309</v>
      </c>
      <c r="E105" t="s">
        <v>21</v>
      </c>
      <c r="F105">
        <f t="shared" si="5"/>
        <v>44</v>
      </c>
      <c r="G105">
        <v>44</v>
      </c>
      <c r="H105" t="str">
        <f t="shared" si="6"/>
        <v>Male</v>
      </c>
      <c r="I105" t="s">
        <v>59</v>
      </c>
      <c r="J105">
        <f t="shared" si="7"/>
        <v>120703</v>
      </c>
      <c r="K105">
        <v>120703</v>
      </c>
      <c r="L105">
        <f t="shared" si="8"/>
        <v>2085</v>
      </c>
      <c r="M105">
        <v>2085</v>
      </c>
      <c r="N105">
        <v>105067</v>
      </c>
      <c r="O105" t="s">
        <v>16</v>
      </c>
      <c r="P105" t="s">
        <v>24</v>
      </c>
    </row>
    <row r="106" spans="1:16" x14ac:dyDescent="0.3">
      <c r="A106" t="s">
        <v>310</v>
      </c>
      <c r="B106" t="str">
        <f>CONCATENATE(Table1[[#This Row],[First Name]]," ",Table1[[#This Row],[Last Name]])</f>
        <v>Anthony Tate</v>
      </c>
      <c r="C106" t="s">
        <v>294</v>
      </c>
      <c r="D106" t="s">
        <v>311</v>
      </c>
      <c r="E106" t="s">
        <v>44</v>
      </c>
      <c r="F106">
        <f t="shared" si="5"/>
        <v>38</v>
      </c>
      <c r="G106">
        <v>38</v>
      </c>
      <c r="H106" t="str">
        <f t="shared" si="6"/>
        <v>Female</v>
      </c>
      <c r="I106" t="s">
        <v>22</v>
      </c>
      <c r="J106">
        <f t="shared" si="7"/>
        <v>198032</v>
      </c>
      <c r="K106">
        <v>198032</v>
      </c>
      <c r="L106">
        <f t="shared" si="8"/>
        <v>115288</v>
      </c>
      <c r="M106">
        <v>115288</v>
      </c>
      <c r="N106">
        <v>131182</v>
      </c>
      <c r="O106" t="s">
        <v>16</v>
      </c>
      <c r="P106" t="s">
        <v>17</v>
      </c>
    </row>
    <row r="107" spans="1:16" x14ac:dyDescent="0.3">
      <c r="A107" t="s">
        <v>312</v>
      </c>
      <c r="B107" t="str">
        <f>CONCATENATE(Table1[[#This Row],[First Name]]," ",Table1[[#This Row],[Last Name]])</f>
        <v>Kelly Garcia</v>
      </c>
      <c r="C107" t="s">
        <v>313</v>
      </c>
      <c r="D107" t="s">
        <v>86</v>
      </c>
      <c r="E107" t="s">
        <v>44</v>
      </c>
      <c r="F107">
        <f t="shared" si="5"/>
        <v>57</v>
      </c>
      <c r="G107">
        <v>57</v>
      </c>
      <c r="H107" t="str">
        <f t="shared" si="6"/>
        <v>Female</v>
      </c>
      <c r="I107" t="s">
        <v>22</v>
      </c>
      <c r="J107">
        <f t="shared" si="7"/>
        <v>335897</v>
      </c>
      <c r="K107">
        <v>335897</v>
      </c>
      <c r="L107">
        <f t="shared" si="8"/>
        <v>33389</v>
      </c>
      <c r="M107">
        <v>33389</v>
      </c>
      <c r="N107">
        <v>120473</v>
      </c>
      <c r="O107" t="s">
        <v>16</v>
      </c>
      <c r="P107" t="s">
        <v>24</v>
      </c>
    </row>
    <row r="108" spans="1:16" x14ac:dyDescent="0.3">
      <c r="A108" t="s">
        <v>314</v>
      </c>
      <c r="B108" t="str">
        <f>CONCATENATE(Table1[[#This Row],[First Name]]," ",Table1[[#This Row],[Last Name]])</f>
        <v>Kelsey Clark</v>
      </c>
      <c r="C108" t="s">
        <v>95</v>
      </c>
      <c r="D108" t="s">
        <v>315</v>
      </c>
      <c r="E108" t="s">
        <v>44</v>
      </c>
      <c r="F108">
        <f t="shared" si="5"/>
        <v>33</v>
      </c>
      <c r="G108">
        <v>33</v>
      </c>
      <c r="H108" t="str">
        <f t="shared" si="6"/>
        <v>Female</v>
      </c>
      <c r="I108" t="s">
        <v>22</v>
      </c>
      <c r="J108">
        <f t="shared" si="7"/>
        <v>238803</v>
      </c>
      <c r="K108">
        <v>238803</v>
      </c>
      <c r="L108" s="2">
        <f t="shared" si="8"/>
        <v>156800.92307692306</v>
      </c>
      <c r="N108">
        <v>115518</v>
      </c>
      <c r="O108" t="s">
        <v>23</v>
      </c>
      <c r="P108" t="s">
        <v>17</v>
      </c>
    </row>
    <row r="109" spans="1:16" x14ac:dyDescent="0.3">
      <c r="A109" t="s">
        <v>316</v>
      </c>
      <c r="B109" t="str">
        <f>CONCATENATE(Table1[[#This Row],[First Name]]," ",Table1[[#This Row],[Last Name]])</f>
        <v>Susan English</v>
      </c>
      <c r="C109" t="s">
        <v>317</v>
      </c>
      <c r="D109" t="s">
        <v>318</v>
      </c>
      <c r="E109" t="s">
        <v>58</v>
      </c>
      <c r="F109">
        <f t="shared" si="5"/>
        <v>33</v>
      </c>
      <c r="G109">
        <v>33</v>
      </c>
      <c r="H109" t="str">
        <f t="shared" si="6"/>
        <v>Female</v>
      </c>
      <c r="I109" t="s">
        <v>22</v>
      </c>
      <c r="J109" s="2">
        <f t="shared" si="7"/>
        <v>252076.51219512196</v>
      </c>
      <c r="L109">
        <f t="shared" si="8"/>
        <v>136824</v>
      </c>
      <c r="M109">
        <v>136824</v>
      </c>
      <c r="N109">
        <v>97308</v>
      </c>
      <c r="O109" t="s">
        <v>16</v>
      </c>
      <c r="P109" t="s">
        <v>24</v>
      </c>
    </row>
    <row r="110" spans="1:16" x14ac:dyDescent="0.3">
      <c r="A110" t="s">
        <v>319</v>
      </c>
      <c r="B110" t="str">
        <f>CONCATENATE(Table1[[#This Row],[First Name]]," ",Table1[[#This Row],[Last Name]])</f>
        <v>Marcia Reed</v>
      </c>
      <c r="C110" t="s">
        <v>320</v>
      </c>
      <c r="D110" t="s">
        <v>204</v>
      </c>
      <c r="E110" t="s">
        <v>48</v>
      </c>
      <c r="F110">
        <f t="shared" si="5"/>
        <v>34</v>
      </c>
      <c r="G110">
        <v>34</v>
      </c>
      <c r="H110" t="str">
        <f t="shared" si="6"/>
        <v>Unknown</v>
      </c>
      <c r="J110">
        <f t="shared" si="7"/>
        <v>16297</v>
      </c>
      <c r="K110">
        <v>16297</v>
      </c>
      <c r="L110">
        <f t="shared" si="8"/>
        <v>208977</v>
      </c>
      <c r="M110">
        <v>208977</v>
      </c>
      <c r="N110">
        <v>41802</v>
      </c>
      <c r="O110" t="s">
        <v>16</v>
      </c>
      <c r="P110" t="s">
        <v>24</v>
      </c>
    </row>
    <row r="111" spans="1:16" x14ac:dyDescent="0.3">
      <c r="A111" t="s">
        <v>321</v>
      </c>
      <c r="B111" t="str">
        <f>CONCATENATE(Table1[[#This Row],[First Name]]," ",Table1[[#This Row],[Last Name]])</f>
        <v>Tyler Mann</v>
      </c>
      <c r="C111" t="s">
        <v>206</v>
      </c>
      <c r="D111" t="s">
        <v>322</v>
      </c>
      <c r="E111" t="s">
        <v>58</v>
      </c>
      <c r="F111">
        <f t="shared" si="5"/>
        <v>35</v>
      </c>
      <c r="G111">
        <v>35</v>
      </c>
      <c r="H111" t="str">
        <f t="shared" si="6"/>
        <v>Male</v>
      </c>
      <c r="I111" t="s">
        <v>59</v>
      </c>
      <c r="J111">
        <f t="shared" si="7"/>
        <v>80267</v>
      </c>
      <c r="K111">
        <v>80267</v>
      </c>
      <c r="L111">
        <f t="shared" si="8"/>
        <v>33899</v>
      </c>
      <c r="M111">
        <v>33899</v>
      </c>
      <c r="N111">
        <v>99816</v>
      </c>
      <c r="O111" t="s">
        <v>33</v>
      </c>
      <c r="P111" t="s">
        <v>17</v>
      </c>
    </row>
    <row r="112" spans="1:16" x14ac:dyDescent="0.3">
      <c r="A112" t="s">
        <v>323</v>
      </c>
      <c r="B112" t="str">
        <f>CONCATENATE(Table1[[#This Row],[First Name]]," ",Table1[[#This Row],[Last Name]])</f>
        <v>Kendra Nguyen</v>
      </c>
      <c r="C112" t="s">
        <v>324</v>
      </c>
      <c r="D112" t="s">
        <v>325</v>
      </c>
      <c r="E112" t="s">
        <v>58</v>
      </c>
      <c r="F112">
        <f t="shared" si="5"/>
        <v>45</v>
      </c>
      <c r="G112">
        <v>45</v>
      </c>
      <c r="H112" t="str">
        <f t="shared" si="6"/>
        <v>Male</v>
      </c>
      <c r="I112" t="s">
        <v>59</v>
      </c>
      <c r="J112" s="2">
        <f t="shared" si="7"/>
        <v>252076.51219512196</v>
      </c>
      <c r="L112">
        <f t="shared" si="8"/>
        <v>48154</v>
      </c>
      <c r="M112">
        <v>48154</v>
      </c>
      <c r="N112">
        <v>50530</v>
      </c>
      <c r="O112" t="s">
        <v>23</v>
      </c>
      <c r="P112" t="s">
        <v>24</v>
      </c>
    </row>
    <row r="113" spans="1:16" x14ac:dyDescent="0.3">
      <c r="A113" t="s">
        <v>326</v>
      </c>
      <c r="B113" t="str">
        <f>CONCATENATE(Table1[[#This Row],[First Name]]," ",Table1[[#This Row],[Last Name]])</f>
        <v>Laura Torres</v>
      </c>
      <c r="C113" t="s">
        <v>327</v>
      </c>
      <c r="D113" t="s">
        <v>328</v>
      </c>
      <c r="E113" t="s">
        <v>14</v>
      </c>
      <c r="F113">
        <f t="shared" si="5"/>
        <v>44</v>
      </c>
      <c r="G113">
        <v>44</v>
      </c>
      <c r="H113" t="str">
        <f t="shared" si="6"/>
        <v>Male</v>
      </c>
      <c r="I113" t="s">
        <v>59</v>
      </c>
      <c r="J113">
        <f t="shared" si="7"/>
        <v>80503</v>
      </c>
      <c r="K113">
        <v>80503</v>
      </c>
      <c r="L113">
        <f t="shared" si="8"/>
        <v>33346</v>
      </c>
      <c r="M113">
        <v>33346</v>
      </c>
      <c r="N113">
        <v>137146</v>
      </c>
      <c r="O113" t="s">
        <v>16</v>
      </c>
      <c r="P113" t="s">
        <v>24</v>
      </c>
    </row>
    <row r="114" spans="1:16" x14ac:dyDescent="0.3">
      <c r="A114" t="s">
        <v>329</v>
      </c>
      <c r="B114" t="str">
        <f>CONCATENATE(Table1[[#This Row],[First Name]]," ",Table1[[#This Row],[Last Name]])</f>
        <v>Luis Douglas</v>
      </c>
      <c r="C114" t="s">
        <v>144</v>
      </c>
      <c r="D114" t="s">
        <v>330</v>
      </c>
      <c r="E114" t="s">
        <v>14</v>
      </c>
      <c r="F114">
        <f t="shared" si="5"/>
        <v>29</v>
      </c>
      <c r="G114">
        <v>29</v>
      </c>
      <c r="H114" t="str">
        <f t="shared" si="6"/>
        <v>Male</v>
      </c>
      <c r="I114" t="s">
        <v>59</v>
      </c>
      <c r="J114">
        <f t="shared" si="7"/>
        <v>127763</v>
      </c>
      <c r="K114">
        <v>127763</v>
      </c>
      <c r="L114">
        <f t="shared" si="8"/>
        <v>126448</v>
      </c>
      <c r="M114">
        <v>126448</v>
      </c>
      <c r="N114">
        <v>116625</v>
      </c>
      <c r="O114" t="s">
        <v>16</v>
      </c>
      <c r="P114" t="s">
        <v>17</v>
      </c>
    </row>
    <row r="115" spans="1:16" x14ac:dyDescent="0.3">
      <c r="A115" t="s">
        <v>331</v>
      </c>
      <c r="B115" t="str">
        <f>CONCATENATE(Table1[[#This Row],[First Name]]," ",Table1[[#This Row],[Last Name]])</f>
        <v>Renee Todd</v>
      </c>
      <c r="C115" t="s">
        <v>110</v>
      </c>
      <c r="D115" t="s">
        <v>332</v>
      </c>
      <c r="E115" t="s">
        <v>21</v>
      </c>
      <c r="F115">
        <f t="shared" si="5"/>
        <v>51</v>
      </c>
      <c r="G115">
        <v>51</v>
      </c>
      <c r="H115" t="str">
        <f t="shared" si="6"/>
        <v>Male</v>
      </c>
      <c r="I115" t="s">
        <v>59</v>
      </c>
      <c r="J115">
        <f t="shared" si="7"/>
        <v>281645</v>
      </c>
      <c r="K115">
        <v>281645</v>
      </c>
      <c r="L115">
        <f t="shared" si="8"/>
        <v>292</v>
      </c>
      <c r="M115">
        <v>292</v>
      </c>
      <c r="N115">
        <v>138939</v>
      </c>
      <c r="O115" t="s">
        <v>16</v>
      </c>
      <c r="P115" t="s">
        <v>17</v>
      </c>
    </row>
    <row r="116" spans="1:16" x14ac:dyDescent="0.3">
      <c r="A116" t="s">
        <v>333</v>
      </c>
      <c r="B116" t="str">
        <f>CONCATENATE(Table1[[#This Row],[First Name]]," ",Table1[[#This Row],[Last Name]])</f>
        <v>Kristen Wilson</v>
      </c>
      <c r="C116" t="s">
        <v>334</v>
      </c>
      <c r="D116" t="s">
        <v>335</v>
      </c>
      <c r="E116" t="s">
        <v>14</v>
      </c>
      <c r="F116">
        <f t="shared" si="5"/>
        <v>25</v>
      </c>
      <c r="G116">
        <v>25</v>
      </c>
      <c r="H116" t="str">
        <f t="shared" si="6"/>
        <v>Female</v>
      </c>
      <c r="I116" t="s">
        <v>22</v>
      </c>
      <c r="J116">
        <f t="shared" si="7"/>
        <v>398354</v>
      </c>
      <c r="K116">
        <v>398354</v>
      </c>
      <c r="L116">
        <f t="shared" si="8"/>
        <v>123833</v>
      </c>
      <c r="M116">
        <v>123833</v>
      </c>
      <c r="N116">
        <v>31685</v>
      </c>
      <c r="O116" t="s">
        <v>33</v>
      </c>
      <c r="P116" t="s">
        <v>24</v>
      </c>
    </row>
    <row r="117" spans="1:16" x14ac:dyDescent="0.3">
      <c r="A117" t="s">
        <v>336</v>
      </c>
      <c r="B117" t="str">
        <f>CONCATENATE(Table1[[#This Row],[First Name]]," ",Table1[[#This Row],[Last Name]])</f>
        <v>Johnny Wood</v>
      </c>
      <c r="C117" t="s">
        <v>337</v>
      </c>
      <c r="D117" t="s">
        <v>338</v>
      </c>
      <c r="E117" t="s">
        <v>58</v>
      </c>
      <c r="F117">
        <f t="shared" si="5"/>
        <v>27</v>
      </c>
      <c r="G117">
        <v>27</v>
      </c>
      <c r="H117" t="str">
        <f t="shared" si="6"/>
        <v>Unknown</v>
      </c>
      <c r="J117">
        <f t="shared" si="7"/>
        <v>92335</v>
      </c>
      <c r="K117">
        <v>92335</v>
      </c>
      <c r="L117">
        <f t="shared" si="8"/>
        <v>282803</v>
      </c>
      <c r="M117">
        <v>282803</v>
      </c>
      <c r="N117">
        <v>83920</v>
      </c>
      <c r="O117" t="s">
        <v>16</v>
      </c>
      <c r="P117" t="s">
        <v>17</v>
      </c>
    </row>
    <row r="118" spans="1:16" x14ac:dyDescent="0.3">
      <c r="A118" t="s">
        <v>339</v>
      </c>
      <c r="B118" t="str">
        <f>CONCATENATE(Table1[[#This Row],[First Name]]," ",Table1[[#This Row],[Last Name]])</f>
        <v>Megan Freeman</v>
      </c>
      <c r="C118" t="s">
        <v>340</v>
      </c>
      <c r="D118" t="s">
        <v>341</v>
      </c>
      <c r="E118" t="s">
        <v>21</v>
      </c>
      <c r="F118">
        <f t="shared" si="5"/>
        <v>32</v>
      </c>
      <c r="G118">
        <v>32</v>
      </c>
      <c r="H118" t="str">
        <f t="shared" si="6"/>
        <v>Female</v>
      </c>
      <c r="I118" t="s">
        <v>22</v>
      </c>
      <c r="J118">
        <f t="shared" si="7"/>
        <v>212363</v>
      </c>
      <c r="K118">
        <v>212363</v>
      </c>
      <c r="L118">
        <f t="shared" si="8"/>
        <v>125112</v>
      </c>
      <c r="M118">
        <v>125112</v>
      </c>
      <c r="N118">
        <v>59296</v>
      </c>
      <c r="O118" t="s">
        <v>33</v>
      </c>
      <c r="P118" t="s">
        <v>17</v>
      </c>
    </row>
    <row r="119" spans="1:16" x14ac:dyDescent="0.3">
      <c r="A119" t="s">
        <v>342</v>
      </c>
      <c r="B119" t="str">
        <f>CONCATENATE(Table1[[#This Row],[First Name]]," ",Table1[[#This Row],[Last Name]])</f>
        <v>Regina Flores</v>
      </c>
      <c r="C119" t="s">
        <v>343</v>
      </c>
      <c r="D119" t="s">
        <v>344</v>
      </c>
      <c r="E119" t="s">
        <v>48</v>
      </c>
      <c r="F119">
        <f t="shared" si="5"/>
        <v>56</v>
      </c>
      <c r="G119">
        <v>56</v>
      </c>
      <c r="H119" t="str">
        <f t="shared" si="6"/>
        <v>Male</v>
      </c>
      <c r="I119" t="s">
        <v>59</v>
      </c>
      <c r="J119" s="2">
        <f t="shared" si="7"/>
        <v>252076.51219512196</v>
      </c>
      <c r="L119">
        <f t="shared" si="8"/>
        <v>108865</v>
      </c>
      <c r="M119">
        <v>108865</v>
      </c>
      <c r="N119">
        <v>16616</v>
      </c>
      <c r="O119" t="s">
        <v>23</v>
      </c>
      <c r="P119" t="s">
        <v>24</v>
      </c>
    </row>
    <row r="120" spans="1:16" x14ac:dyDescent="0.3">
      <c r="A120" t="s">
        <v>345</v>
      </c>
      <c r="B120" t="str">
        <f>CONCATENATE(Table1[[#This Row],[First Name]]," ",Table1[[#This Row],[Last Name]])</f>
        <v>Laura Colon</v>
      </c>
      <c r="C120" t="s">
        <v>327</v>
      </c>
      <c r="D120" t="s">
        <v>346</v>
      </c>
      <c r="E120" t="s">
        <v>44</v>
      </c>
      <c r="F120">
        <f t="shared" si="5"/>
        <v>21</v>
      </c>
      <c r="G120">
        <v>21</v>
      </c>
      <c r="H120" t="str">
        <f t="shared" si="6"/>
        <v>Female</v>
      </c>
      <c r="I120" t="s">
        <v>22</v>
      </c>
      <c r="J120">
        <f t="shared" si="7"/>
        <v>398885</v>
      </c>
      <c r="K120">
        <v>398885</v>
      </c>
      <c r="L120" s="2">
        <f t="shared" si="8"/>
        <v>113155</v>
      </c>
      <c r="N120">
        <v>82448</v>
      </c>
      <c r="O120" t="s">
        <v>33</v>
      </c>
      <c r="P120" t="s">
        <v>24</v>
      </c>
    </row>
    <row r="121" spans="1:16" x14ac:dyDescent="0.3">
      <c r="A121" t="s">
        <v>347</v>
      </c>
      <c r="B121" t="str">
        <f>CONCATENATE(Table1[[#This Row],[First Name]]," ",Table1[[#This Row],[Last Name]])</f>
        <v>Christopher Rios</v>
      </c>
      <c r="C121" t="s">
        <v>61</v>
      </c>
      <c r="D121" t="s">
        <v>348</v>
      </c>
      <c r="E121" t="s">
        <v>14</v>
      </c>
      <c r="F121">
        <f t="shared" si="5"/>
        <v>28</v>
      </c>
      <c r="G121">
        <v>28</v>
      </c>
      <c r="H121" t="str">
        <f t="shared" si="6"/>
        <v>Female</v>
      </c>
      <c r="I121" t="s">
        <v>22</v>
      </c>
      <c r="J121">
        <f t="shared" si="7"/>
        <v>175622</v>
      </c>
      <c r="K121">
        <v>175622</v>
      </c>
      <c r="L121" s="2">
        <f t="shared" si="8"/>
        <v>109133.41176470589</v>
      </c>
      <c r="N121">
        <v>115068</v>
      </c>
      <c r="O121" t="s">
        <v>23</v>
      </c>
      <c r="P121" t="s">
        <v>24</v>
      </c>
    </row>
    <row r="122" spans="1:16" x14ac:dyDescent="0.3">
      <c r="A122" t="s">
        <v>349</v>
      </c>
      <c r="B122" t="str">
        <f>CONCATENATE(Table1[[#This Row],[First Name]]," ",Table1[[#This Row],[Last Name]])</f>
        <v>John Malone</v>
      </c>
      <c r="C122" t="s">
        <v>80</v>
      </c>
      <c r="D122" t="s">
        <v>350</v>
      </c>
      <c r="E122" t="s">
        <v>14</v>
      </c>
      <c r="F122">
        <f t="shared" si="5"/>
        <v>46</v>
      </c>
      <c r="G122">
        <v>46</v>
      </c>
      <c r="H122" t="str">
        <f t="shared" si="6"/>
        <v>Female</v>
      </c>
      <c r="I122" t="s">
        <v>22</v>
      </c>
      <c r="J122">
        <f t="shared" si="7"/>
        <v>224551</v>
      </c>
      <c r="K122">
        <v>224551</v>
      </c>
      <c r="L122">
        <f t="shared" si="8"/>
        <v>121925</v>
      </c>
      <c r="M122">
        <v>121925</v>
      </c>
      <c r="N122">
        <v>116065</v>
      </c>
      <c r="O122" t="s">
        <v>33</v>
      </c>
      <c r="P122" t="s">
        <v>17</v>
      </c>
    </row>
    <row r="123" spans="1:16" x14ac:dyDescent="0.3">
      <c r="A123" t="s">
        <v>351</v>
      </c>
      <c r="B123" t="str">
        <f>CONCATENATE(Table1[[#This Row],[First Name]]," ",Table1[[#This Row],[Last Name]])</f>
        <v>Luis Ramos</v>
      </c>
      <c r="C123" t="s">
        <v>144</v>
      </c>
      <c r="D123" t="s">
        <v>352</v>
      </c>
      <c r="E123" t="s">
        <v>21</v>
      </c>
      <c r="F123">
        <f t="shared" si="5"/>
        <v>46</v>
      </c>
      <c r="G123">
        <v>46</v>
      </c>
      <c r="H123" t="str">
        <f t="shared" si="6"/>
        <v>Female</v>
      </c>
      <c r="I123" t="s">
        <v>22</v>
      </c>
      <c r="J123">
        <f t="shared" si="7"/>
        <v>377318</v>
      </c>
      <c r="K123">
        <v>377318</v>
      </c>
      <c r="L123">
        <f t="shared" si="8"/>
        <v>163328</v>
      </c>
      <c r="M123">
        <v>163328</v>
      </c>
      <c r="N123">
        <v>42694</v>
      </c>
      <c r="O123" t="s">
        <v>23</v>
      </c>
      <c r="P123" t="s">
        <v>24</v>
      </c>
    </row>
    <row r="124" spans="1:16" x14ac:dyDescent="0.3">
      <c r="A124" t="s">
        <v>353</v>
      </c>
      <c r="B124" t="str">
        <f>CONCATENATE(Table1[[#This Row],[First Name]]," ",Table1[[#This Row],[Last Name]])</f>
        <v>Luis Conway</v>
      </c>
      <c r="C124" t="s">
        <v>144</v>
      </c>
      <c r="D124" t="s">
        <v>354</v>
      </c>
      <c r="E124" t="s">
        <v>14</v>
      </c>
      <c r="F124">
        <f t="shared" si="5"/>
        <v>43</v>
      </c>
      <c r="G124">
        <v>43</v>
      </c>
      <c r="H124" t="str">
        <f t="shared" si="6"/>
        <v>Male</v>
      </c>
      <c r="I124" t="s">
        <v>59</v>
      </c>
      <c r="J124">
        <f t="shared" si="7"/>
        <v>54798</v>
      </c>
      <c r="K124">
        <v>54798</v>
      </c>
      <c r="L124">
        <f t="shared" si="8"/>
        <v>249335</v>
      </c>
      <c r="M124">
        <v>249335</v>
      </c>
      <c r="N124">
        <v>135806</v>
      </c>
      <c r="O124" t="s">
        <v>23</v>
      </c>
      <c r="P124" t="s">
        <v>17</v>
      </c>
    </row>
    <row r="125" spans="1:16" x14ac:dyDescent="0.3">
      <c r="A125" t="s">
        <v>355</v>
      </c>
      <c r="B125" t="str">
        <f>CONCATENATE(Table1[[#This Row],[First Name]]," ",Table1[[#This Row],[Last Name]])</f>
        <v>Diana Moore</v>
      </c>
      <c r="C125" t="s">
        <v>356</v>
      </c>
      <c r="D125" t="s">
        <v>357</v>
      </c>
      <c r="E125" t="s">
        <v>44</v>
      </c>
      <c r="F125">
        <f t="shared" si="5"/>
        <v>40</v>
      </c>
      <c r="G125">
        <v>40</v>
      </c>
      <c r="H125" t="str">
        <f t="shared" si="6"/>
        <v>Male</v>
      </c>
      <c r="I125" t="s">
        <v>59</v>
      </c>
      <c r="J125">
        <f t="shared" si="7"/>
        <v>345857</v>
      </c>
      <c r="K125">
        <v>345857</v>
      </c>
      <c r="L125">
        <f t="shared" si="8"/>
        <v>211857</v>
      </c>
      <c r="M125">
        <v>211857</v>
      </c>
      <c r="N125">
        <v>111513</v>
      </c>
      <c r="O125" t="s">
        <v>23</v>
      </c>
      <c r="P125" t="s">
        <v>17</v>
      </c>
    </row>
    <row r="126" spans="1:16" x14ac:dyDescent="0.3">
      <c r="A126" t="s">
        <v>358</v>
      </c>
      <c r="B126" t="str">
        <f>CONCATENATE(Table1[[#This Row],[First Name]]," ",Table1[[#This Row],[Last Name]])</f>
        <v>Jenna Scott</v>
      </c>
      <c r="C126" t="s">
        <v>359</v>
      </c>
      <c r="D126" t="s">
        <v>127</v>
      </c>
      <c r="E126" t="s">
        <v>14</v>
      </c>
      <c r="F126">
        <f t="shared" si="5"/>
        <v>44</v>
      </c>
      <c r="G126">
        <v>44</v>
      </c>
      <c r="H126" t="str">
        <f t="shared" si="6"/>
        <v>Female</v>
      </c>
      <c r="I126" t="s">
        <v>22</v>
      </c>
      <c r="J126">
        <f t="shared" si="7"/>
        <v>276981</v>
      </c>
      <c r="K126">
        <v>276981</v>
      </c>
      <c r="L126">
        <f t="shared" si="8"/>
        <v>182803</v>
      </c>
      <c r="M126">
        <v>182803</v>
      </c>
      <c r="N126">
        <v>37765</v>
      </c>
      <c r="O126" t="s">
        <v>16</v>
      </c>
      <c r="P126" t="s">
        <v>24</v>
      </c>
    </row>
    <row r="127" spans="1:16" x14ac:dyDescent="0.3">
      <c r="A127" t="s">
        <v>360</v>
      </c>
      <c r="B127" t="str">
        <f>CONCATENATE(Table1[[#This Row],[First Name]]," ",Table1[[#This Row],[Last Name]])</f>
        <v>Anthony Fowler</v>
      </c>
      <c r="C127" t="s">
        <v>294</v>
      </c>
      <c r="D127" t="s">
        <v>361</v>
      </c>
      <c r="E127" t="s">
        <v>44</v>
      </c>
      <c r="F127">
        <f t="shared" si="5"/>
        <v>45</v>
      </c>
      <c r="G127">
        <v>45</v>
      </c>
      <c r="H127" t="str">
        <f t="shared" si="6"/>
        <v>Female</v>
      </c>
      <c r="I127" t="s">
        <v>22</v>
      </c>
      <c r="J127">
        <f t="shared" si="7"/>
        <v>408824</v>
      </c>
      <c r="K127">
        <v>408824</v>
      </c>
      <c r="L127">
        <f t="shared" si="8"/>
        <v>142277</v>
      </c>
      <c r="M127">
        <v>142277</v>
      </c>
      <c r="N127">
        <v>22112</v>
      </c>
      <c r="O127" t="s">
        <v>23</v>
      </c>
      <c r="P127" t="s">
        <v>17</v>
      </c>
    </row>
    <row r="128" spans="1:16" x14ac:dyDescent="0.3">
      <c r="A128" t="s">
        <v>362</v>
      </c>
      <c r="B128" t="str">
        <f>CONCATENATE(Table1[[#This Row],[First Name]]," ",Table1[[#This Row],[Last Name]])</f>
        <v>Emily Roy</v>
      </c>
      <c r="C128" t="s">
        <v>363</v>
      </c>
      <c r="D128" t="s">
        <v>40</v>
      </c>
      <c r="E128" t="s">
        <v>48</v>
      </c>
      <c r="F128">
        <f t="shared" si="5"/>
        <v>47</v>
      </c>
      <c r="G128">
        <v>47</v>
      </c>
      <c r="H128" t="str">
        <f t="shared" si="6"/>
        <v>Female</v>
      </c>
      <c r="I128" t="s">
        <v>22</v>
      </c>
      <c r="J128">
        <f t="shared" si="7"/>
        <v>210402</v>
      </c>
      <c r="K128">
        <v>210402</v>
      </c>
      <c r="L128">
        <f t="shared" si="8"/>
        <v>94577</v>
      </c>
      <c r="M128">
        <v>94577</v>
      </c>
      <c r="N128">
        <v>60506</v>
      </c>
      <c r="O128" t="s">
        <v>23</v>
      </c>
      <c r="P128" t="s">
        <v>24</v>
      </c>
    </row>
    <row r="129" spans="1:16" x14ac:dyDescent="0.3">
      <c r="A129" t="s">
        <v>364</v>
      </c>
      <c r="B129" t="str">
        <f>CONCATENATE(Table1[[#This Row],[First Name]]," ",Table1[[#This Row],[Last Name]])</f>
        <v>Daniel Weaver</v>
      </c>
      <c r="C129" t="s">
        <v>47</v>
      </c>
      <c r="D129" t="s">
        <v>365</v>
      </c>
      <c r="E129" t="s">
        <v>44</v>
      </c>
      <c r="F129">
        <f t="shared" si="5"/>
        <v>41</v>
      </c>
      <c r="G129">
        <v>41</v>
      </c>
      <c r="H129" t="str">
        <f t="shared" si="6"/>
        <v>Male</v>
      </c>
      <c r="I129" t="s">
        <v>59</v>
      </c>
      <c r="J129">
        <f t="shared" si="7"/>
        <v>119547</v>
      </c>
      <c r="K129">
        <v>119547</v>
      </c>
      <c r="L129">
        <f t="shared" si="8"/>
        <v>96291</v>
      </c>
      <c r="M129">
        <v>96291</v>
      </c>
      <c r="N129">
        <v>101237</v>
      </c>
      <c r="O129" t="s">
        <v>16</v>
      </c>
      <c r="P129" t="s">
        <v>17</v>
      </c>
    </row>
    <row r="130" spans="1:16" x14ac:dyDescent="0.3">
      <c r="A130" t="s">
        <v>366</v>
      </c>
      <c r="B130" t="str">
        <f>CONCATENATE(Table1[[#This Row],[First Name]]," ",Table1[[#This Row],[Last Name]])</f>
        <v>Megan Leon</v>
      </c>
      <c r="C130" t="s">
        <v>340</v>
      </c>
      <c r="D130" t="s">
        <v>367</v>
      </c>
      <c r="E130" t="s">
        <v>14</v>
      </c>
      <c r="F130">
        <f t="shared" ref="F130:F193" si="9">IF(G130="", AVERAGE($G$2:$G$501),G130)</f>
        <v>26</v>
      </c>
      <c r="G130">
        <v>26</v>
      </c>
      <c r="H130" t="str">
        <f t="shared" ref="H130:H193" si="10">IF(I130="","Unknown",I130)</f>
        <v>Female</v>
      </c>
      <c r="I130" t="s">
        <v>22</v>
      </c>
      <c r="J130">
        <f t="shared" ref="J130:J193" si="11">IF(K130="",AVERAGE($K$2:$K$501),K130)</f>
        <v>328510</v>
      </c>
      <c r="K130">
        <v>328510</v>
      </c>
      <c r="L130">
        <f t="shared" ref="L130:L193" si="12">IF(M130="",AVERAGEIF($F$2:$F$501,F130,$M$2:$M$501),M130)</f>
        <v>112717</v>
      </c>
      <c r="M130">
        <v>112717</v>
      </c>
      <c r="N130">
        <v>147135</v>
      </c>
      <c r="O130" t="s">
        <v>33</v>
      </c>
      <c r="P130" t="s">
        <v>24</v>
      </c>
    </row>
    <row r="131" spans="1:16" x14ac:dyDescent="0.3">
      <c r="A131" t="s">
        <v>368</v>
      </c>
      <c r="B131" t="str">
        <f>CONCATENATE(Table1[[#This Row],[First Name]]," ",Table1[[#This Row],[Last Name]])</f>
        <v>Jessica Maynard</v>
      </c>
      <c r="C131" t="s">
        <v>369</v>
      </c>
      <c r="D131" t="s">
        <v>370</v>
      </c>
      <c r="E131" t="s">
        <v>14</v>
      </c>
      <c r="F131">
        <f t="shared" si="9"/>
        <v>28</v>
      </c>
      <c r="G131">
        <v>28</v>
      </c>
      <c r="H131" t="str">
        <f t="shared" si="10"/>
        <v>Female</v>
      </c>
      <c r="I131" t="s">
        <v>22</v>
      </c>
      <c r="J131">
        <f t="shared" si="11"/>
        <v>478900</v>
      </c>
      <c r="K131">
        <v>478900</v>
      </c>
      <c r="L131">
        <f t="shared" si="12"/>
        <v>35361</v>
      </c>
      <c r="M131">
        <v>35361</v>
      </c>
      <c r="N131">
        <v>83845</v>
      </c>
      <c r="O131" t="s">
        <v>33</v>
      </c>
      <c r="P131" t="s">
        <v>17</v>
      </c>
    </row>
    <row r="132" spans="1:16" x14ac:dyDescent="0.3">
      <c r="A132" t="s">
        <v>371</v>
      </c>
      <c r="B132" t="str">
        <f>CONCATENATE(Table1[[#This Row],[First Name]]," ",Table1[[#This Row],[Last Name]])</f>
        <v>Andrea Patterson</v>
      </c>
      <c r="C132" t="s">
        <v>372</v>
      </c>
      <c r="D132" t="s">
        <v>373</v>
      </c>
      <c r="E132" t="s">
        <v>44</v>
      </c>
      <c r="F132">
        <f t="shared" si="9"/>
        <v>47</v>
      </c>
      <c r="G132">
        <v>47</v>
      </c>
      <c r="H132" t="str">
        <f t="shared" si="10"/>
        <v>Male</v>
      </c>
      <c r="I132" t="s">
        <v>59</v>
      </c>
      <c r="J132">
        <f t="shared" si="11"/>
        <v>406562</v>
      </c>
      <c r="K132">
        <v>406562</v>
      </c>
      <c r="L132">
        <f t="shared" si="12"/>
        <v>59465</v>
      </c>
      <c r="M132">
        <v>59465</v>
      </c>
      <c r="N132">
        <v>64511</v>
      </c>
      <c r="O132" t="s">
        <v>33</v>
      </c>
      <c r="P132" t="s">
        <v>17</v>
      </c>
    </row>
    <row r="133" spans="1:16" x14ac:dyDescent="0.3">
      <c r="A133" t="s">
        <v>374</v>
      </c>
      <c r="B133" t="str">
        <f>CONCATENATE(Table1[[#This Row],[First Name]]," ",Table1[[#This Row],[Last Name]])</f>
        <v>Paul Cruz</v>
      </c>
      <c r="C133" t="s">
        <v>375</v>
      </c>
      <c r="D133" t="s">
        <v>376</v>
      </c>
      <c r="E133" t="s">
        <v>21</v>
      </c>
      <c r="F133">
        <f t="shared" si="9"/>
        <v>47</v>
      </c>
      <c r="G133">
        <v>47</v>
      </c>
      <c r="H133" t="str">
        <f t="shared" si="10"/>
        <v>Female</v>
      </c>
      <c r="I133" t="s">
        <v>22</v>
      </c>
      <c r="J133">
        <f t="shared" si="11"/>
        <v>301525</v>
      </c>
      <c r="K133">
        <v>301525</v>
      </c>
      <c r="L133">
        <f t="shared" si="12"/>
        <v>127024</v>
      </c>
      <c r="M133">
        <v>127024</v>
      </c>
      <c r="N133">
        <v>142319</v>
      </c>
      <c r="O133" t="s">
        <v>23</v>
      </c>
      <c r="P133" t="s">
        <v>17</v>
      </c>
    </row>
    <row r="134" spans="1:16" x14ac:dyDescent="0.3">
      <c r="A134" t="s">
        <v>377</v>
      </c>
      <c r="B134" t="str">
        <f>CONCATENATE(Table1[[#This Row],[First Name]]," ",Table1[[#This Row],[Last Name]])</f>
        <v>Aaron Bond</v>
      </c>
      <c r="C134" t="s">
        <v>50</v>
      </c>
      <c r="D134" t="s">
        <v>378</v>
      </c>
      <c r="E134" t="s">
        <v>44</v>
      </c>
      <c r="F134">
        <f t="shared" si="9"/>
        <v>46</v>
      </c>
      <c r="G134">
        <v>46</v>
      </c>
      <c r="H134" t="str">
        <f t="shared" si="10"/>
        <v>Male</v>
      </c>
      <c r="I134" t="s">
        <v>59</v>
      </c>
      <c r="J134">
        <f t="shared" si="11"/>
        <v>455252</v>
      </c>
      <c r="K134">
        <v>455252</v>
      </c>
      <c r="L134">
        <f t="shared" si="12"/>
        <v>183492</v>
      </c>
      <c r="M134">
        <v>183492</v>
      </c>
      <c r="N134">
        <v>138614</v>
      </c>
      <c r="O134" t="s">
        <v>33</v>
      </c>
      <c r="P134" t="s">
        <v>17</v>
      </c>
    </row>
    <row r="135" spans="1:16" x14ac:dyDescent="0.3">
      <c r="A135" t="s">
        <v>379</v>
      </c>
      <c r="B135" t="str">
        <f>CONCATENATE(Table1[[#This Row],[First Name]]," ",Table1[[#This Row],[Last Name]])</f>
        <v>George Acosta</v>
      </c>
      <c r="C135" t="s">
        <v>380</v>
      </c>
      <c r="D135" t="s">
        <v>381</v>
      </c>
      <c r="E135" t="s">
        <v>58</v>
      </c>
      <c r="F135">
        <f t="shared" si="9"/>
        <v>49</v>
      </c>
      <c r="G135">
        <v>49</v>
      </c>
      <c r="H135" t="str">
        <f t="shared" si="10"/>
        <v>Unknown</v>
      </c>
      <c r="J135">
        <f t="shared" si="11"/>
        <v>26460</v>
      </c>
      <c r="K135">
        <v>26460</v>
      </c>
      <c r="L135">
        <f t="shared" si="12"/>
        <v>74486</v>
      </c>
      <c r="M135">
        <v>74486</v>
      </c>
      <c r="N135">
        <v>132541</v>
      </c>
      <c r="O135" t="s">
        <v>23</v>
      </c>
      <c r="P135" t="s">
        <v>24</v>
      </c>
    </row>
    <row r="136" spans="1:16" x14ac:dyDescent="0.3">
      <c r="A136" t="s">
        <v>382</v>
      </c>
      <c r="B136" t="str">
        <f>CONCATENATE(Table1[[#This Row],[First Name]]," ",Table1[[#This Row],[Last Name]])</f>
        <v>Alan Silva</v>
      </c>
      <c r="C136" t="s">
        <v>383</v>
      </c>
      <c r="D136" t="s">
        <v>251</v>
      </c>
      <c r="E136" t="s">
        <v>58</v>
      </c>
      <c r="F136">
        <f t="shared" si="9"/>
        <v>35</v>
      </c>
      <c r="G136">
        <v>35</v>
      </c>
      <c r="H136" t="str">
        <f t="shared" si="10"/>
        <v>Male</v>
      </c>
      <c r="I136" t="s">
        <v>59</v>
      </c>
      <c r="J136">
        <f t="shared" si="11"/>
        <v>12234</v>
      </c>
      <c r="K136">
        <v>12234</v>
      </c>
      <c r="L136">
        <f t="shared" si="12"/>
        <v>72171</v>
      </c>
      <c r="M136">
        <v>72171</v>
      </c>
      <c r="N136">
        <v>98331</v>
      </c>
      <c r="O136" t="s">
        <v>23</v>
      </c>
      <c r="P136" t="s">
        <v>24</v>
      </c>
    </row>
    <row r="137" spans="1:16" x14ac:dyDescent="0.3">
      <c r="A137" t="s">
        <v>384</v>
      </c>
      <c r="B137" t="str">
        <f>CONCATENATE(Table1[[#This Row],[First Name]]," ",Table1[[#This Row],[Last Name]])</f>
        <v>Stephen Ramirez</v>
      </c>
      <c r="C137" t="s">
        <v>197</v>
      </c>
      <c r="D137" t="s">
        <v>105</v>
      </c>
      <c r="E137" t="s">
        <v>14</v>
      </c>
      <c r="F137">
        <f t="shared" si="9"/>
        <v>54</v>
      </c>
      <c r="G137">
        <v>54</v>
      </c>
      <c r="H137" t="str">
        <f t="shared" si="10"/>
        <v>Male</v>
      </c>
      <c r="I137" t="s">
        <v>59</v>
      </c>
      <c r="J137">
        <f t="shared" si="11"/>
        <v>211597</v>
      </c>
      <c r="K137">
        <v>211597</v>
      </c>
      <c r="L137">
        <f t="shared" si="12"/>
        <v>8683</v>
      </c>
      <c r="M137">
        <v>8683</v>
      </c>
      <c r="N137">
        <v>110922</v>
      </c>
      <c r="O137" t="s">
        <v>23</v>
      </c>
      <c r="P137" t="s">
        <v>24</v>
      </c>
    </row>
    <row r="138" spans="1:16" x14ac:dyDescent="0.3">
      <c r="A138" t="s">
        <v>385</v>
      </c>
      <c r="B138" t="str">
        <f>CONCATENATE(Table1[[#This Row],[First Name]]," ",Table1[[#This Row],[Last Name]])</f>
        <v>Matthew Martin</v>
      </c>
      <c r="C138" t="s">
        <v>386</v>
      </c>
      <c r="D138" t="s">
        <v>238</v>
      </c>
      <c r="E138" t="s">
        <v>21</v>
      </c>
      <c r="F138">
        <f t="shared" si="9"/>
        <v>34</v>
      </c>
      <c r="G138">
        <v>34</v>
      </c>
      <c r="H138" t="str">
        <f t="shared" si="10"/>
        <v>Male</v>
      </c>
      <c r="I138" t="s">
        <v>59</v>
      </c>
      <c r="J138">
        <f t="shared" si="11"/>
        <v>84415</v>
      </c>
      <c r="K138">
        <v>84415</v>
      </c>
      <c r="L138" s="2">
        <f t="shared" si="12"/>
        <v>157265.28571428571</v>
      </c>
      <c r="N138">
        <v>22476</v>
      </c>
      <c r="O138" t="s">
        <v>33</v>
      </c>
      <c r="P138" t="s">
        <v>24</v>
      </c>
    </row>
    <row r="139" spans="1:16" x14ac:dyDescent="0.3">
      <c r="A139" t="s">
        <v>387</v>
      </c>
      <c r="B139" t="str">
        <f>CONCATENATE(Table1[[#This Row],[First Name]]," ",Table1[[#This Row],[Last Name]])</f>
        <v>Ashley Ruiz</v>
      </c>
      <c r="C139" t="s">
        <v>260</v>
      </c>
      <c r="D139" t="s">
        <v>388</v>
      </c>
      <c r="E139" t="s">
        <v>58</v>
      </c>
      <c r="F139">
        <f t="shared" si="9"/>
        <v>21</v>
      </c>
      <c r="G139">
        <v>21</v>
      </c>
      <c r="H139" t="str">
        <f t="shared" si="10"/>
        <v>Female</v>
      </c>
      <c r="I139" t="s">
        <v>22</v>
      </c>
      <c r="J139">
        <f t="shared" si="11"/>
        <v>21816</v>
      </c>
      <c r="K139">
        <v>21816</v>
      </c>
      <c r="L139" s="2">
        <f t="shared" si="12"/>
        <v>113155</v>
      </c>
      <c r="N139">
        <v>54938</v>
      </c>
      <c r="O139" t="s">
        <v>16</v>
      </c>
      <c r="P139" t="s">
        <v>24</v>
      </c>
    </row>
    <row r="140" spans="1:16" x14ac:dyDescent="0.3">
      <c r="A140" t="s">
        <v>389</v>
      </c>
      <c r="B140" t="str">
        <f>CONCATENATE(Table1[[#This Row],[First Name]]," ",Table1[[#This Row],[Last Name]])</f>
        <v>Patrick White</v>
      </c>
      <c r="C140" t="s">
        <v>390</v>
      </c>
      <c r="D140" t="s">
        <v>93</v>
      </c>
      <c r="E140" t="s">
        <v>44</v>
      </c>
      <c r="F140">
        <f t="shared" si="9"/>
        <v>31</v>
      </c>
      <c r="G140">
        <v>31</v>
      </c>
      <c r="H140" t="str">
        <f t="shared" si="10"/>
        <v>Male</v>
      </c>
      <c r="I140" t="s">
        <v>59</v>
      </c>
      <c r="J140">
        <f t="shared" si="11"/>
        <v>318474</v>
      </c>
      <c r="K140">
        <v>318474</v>
      </c>
      <c r="L140">
        <f t="shared" si="12"/>
        <v>242458</v>
      </c>
      <c r="M140">
        <v>242458</v>
      </c>
      <c r="N140">
        <v>87577</v>
      </c>
      <c r="O140" t="s">
        <v>23</v>
      </c>
      <c r="P140" t="s">
        <v>17</v>
      </c>
    </row>
    <row r="141" spans="1:16" x14ac:dyDescent="0.3">
      <c r="A141" t="s">
        <v>391</v>
      </c>
      <c r="B141" t="str">
        <f>CONCATENATE(Table1[[#This Row],[First Name]]," ",Table1[[#This Row],[Last Name]])</f>
        <v>Yvonne Callahan</v>
      </c>
      <c r="C141" t="s">
        <v>392</v>
      </c>
      <c r="D141" t="s">
        <v>393</v>
      </c>
      <c r="E141" t="s">
        <v>44</v>
      </c>
      <c r="F141">
        <f t="shared" si="9"/>
        <v>38</v>
      </c>
      <c r="G141">
        <v>38</v>
      </c>
      <c r="H141" t="str">
        <f t="shared" si="10"/>
        <v>Unknown</v>
      </c>
      <c r="J141">
        <f t="shared" si="11"/>
        <v>479125</v>
      </c>
      <c r="K141">
        <v>479125</v>
      </c>
      <c r="L141">
        <f t="shared" si="12"/>
        <v>84817</v>
      </c>
      <c r="M141">
        <v>84817</v>
      </c>
      <c r="N141">
        <v>138177</v>
      </c>
      <c r="O141" t="s">
        <v>23</v>
      </c>
      <c r="P141" t="s">
        <v>17</v>
      </c>
    </row>
    <row r="142" spans="1:16" x14ac:dyDescent="0.3">
      <c r="A142" t="s">
        <v>394</v>
      </c>
      <c r="B142" t="str">
        <f>CONCATENATE(Table1[[#This Row],[First Name]]," ",Table1[[#This Row],[Last Name]])</f>
        <v>Carrie Chang</v>
      </c>
      <c r="C142" t="s">
        <v>395</v>
      </c>
      <c r="D142" t="s">
        <v>396</v>
      </c>
      <c r="E142" t="s">
        <v>58</v>
      </c>
      <c r="F142">
        <f t="shared" si="9"/>
        <v>48</v>
      </c>
      <c r="G142">
        <v>48</v>
      </c>
      <c r="H142" t="str">
        <f t="shared" si="10"/>
        <v>Unknown</v>
      </c>
      <c r="J142">
        <f t="shared" si="11"/>
        <v>153691</v>
      </c>
      <c r="K142">
        <v>153691</v>
      </c>
      <c r="L142">
        <f t="shared" si="12"/>
        <v>104898</v>
      </c>
      <c r="M142">
        <v>104898</v>
      </c>
      <c r="N142">
        <v>102853</v>
      </c>
      <c r="O142" t="s">
        <v>23</v>
      </c>
      <c r="P142" t="s">
        <v>17</v>
      </c>
    </row>
    <row r="143" spans="1:16" x14ac:dyDescent="0.3">
      <c r="A143" t="s">
        <v>397</v>
      </c>
      <c r="B143" t="str">
        <f>CONCATENATE(Table1[[#This Row],[First Name]]," ",Table1[[#This Row],[Last Name]])</f>
        <v>Pamela Leach</v>
      </c>
      <c r="C143" t="s">
        <v>398</v>
      </c>
      <c r="D143" t="s">
        <v>399</v>
      </c>
      <c r="E143" t="s">
        <v>44</v>
      </c>
      <c r="F143">
        <f t="shared" si="9"/>
        <v>58</v>
      </c>
      <c r="G143">
        <v>58</v>
      </c>
      <c r="H143" t="str">
        <f t="shared" si="10"/>
        <v>Unknown</v>
      </c>
      <c r="J143" s="2">
        <f t="shared" si="11"/>
        <v>252076.51219512196</v>
      </c>
      <c r="L143">
        <f t="shared" si="12"/>
        <v>192321</v>
      </c>
      <c r="M143">
        <v>192321</v>
      </c>
      <c r="N143">
        <v>97508</v>
      </c>
      <c r="O143" t="s">
        <v>23</v>
      </c>
      <c r="P143" t="s">
        <v>24</v>
      </c>
    </row>
    <row r="144" spans="1:16" x14ac:dyDescent="0.3">
      <c r="A144" t="s">
        <v>400</v>
      </c>
      <c r="B144" t="str">
        <f>CONCATENATE(Table1[[#This Row],[First Name]]," ",Table1[[#This Row],[Last Name]])</f>
        <v>Omar Welch</v>
      </c>
      <c r="C144" t="s">
        <v>401</v>
      </c>
      <c r="D144" t="s">
        <v>402</v>
      </c>
      <c r="E144" t="s">
        <v>58</v>
      </c>
      <c r="F144">
        <f t="shared" si="9"/>
        <v>57</v>
      </c>
      <c r="G144">
        <v>57</v>
      </c>
      <c r="H144" t="str">
        <f t="shared" si="10"/>
        <v>Female</v>
      </c>
      <c r="I144" t="s">
        <v>22</v>
      </c>
      <c r="J144">
        <f t="shared" si="11"/>
        <v>404248</v>
      </c>
      <c r="K144">
        <v>404248</v>
      </c>
      <c r="L144">
        <f t="shared" si="12"/>
        <v>231223</v>
      </c>
      <c r="M144">
        <v>231223</v>
      </c>
      <c r="N144">
        <v>140470</v>
      </c>
      <c r="O144" t="s">
        <v>23</v>
      </c>
      <c r="P144" t="s">
        <v>17</v>
      </c>
    </row>
    <row r="145" spans="1:16" x14ac:dyDescent="0.3">
      <c r="A145" t="s">
        <v>403</v>
      </c>
      <c r="B145" t="str">
        <f>CONCATENATE(Table1[[#This Row],[First Name]]," ",Table1[[#This Row],[Last Name]])</f>
        <v>Gabriel Sanchez</v>
      </c>
      <c r="C145" t="s">
        <v>404</v>
      </c>
      <c r="D145" t="s">
        <v>405</v>
      </c>
      <c r="E145" t="s">
        <v>21</v>
      </c>
      <c r="F145">
        <f t="shared" si="9"/>
        <v>44</v>
      </c>
      <c r="G145">
        <v>44</v>
      </c>
      <c r="H145" t="str">
        <f t="shared" si="10"/>
        <v>Female</v>
      </c>
      <c r="I145" t="s">
        <v>22</v>
      </c>
      <c r="J145">
        <f t="shared" si="11"/>
        <v>423641</v>
      </c>
      <c r="K145">
        <v>423641</v>
      </c>
      <c r="L145">
        <f t="shared" si="12"/>
        <v>184884</v>
      </c>
      <c r="M145">
        <v>184884</v>
      </c>
      <c r="N145">
        <v>139128</v>
      </c>
      <c r="O145" t="s">
        <v>23</v>
      </c>
      <c r="P145" t="s">
        <v>24</v>
      </c>
    </row>
    <row r="146" spans="1:16" x14ac:dyDescent="0.3">
      <c r="A146" t="s">
        <v>406</v>
      </c>
      <c r="B146" t="str">
        <f>CONCATENATE(Table1[[#This Row],[First Name]]," ",Table1[[#This Row],[Last Name]])</f>
        <v>Marc Harris</v>
      </c>
      <c r="C146" t="s">
        <v>107</v>
      </c>
      <c r="D146" t="s">
        <v>256</v>
      </c>
      <c r="E146" t="s">
        <v>48</v>
      </c>
      <c r="F146">
        <f t="shared" si="9"/>
        <v>40</v>
      </c>
      <c r="G146">
        <v>40</v>
      </c>
      <c r="H146" t="str">
        <f t="shared" si="10"/>
        <v>Female</v>
      </c>
      <c r="I146" t="s">
        <v>22</v>
      </c>
      <c r="J146">
        <f t="shared" si="11"/>
        <v>136662</v>
      </c>
      <c r="K146">
        <v>136662</v>
      </c>
      <c r="L146">
        <f t="shared" si="12"/>
        <v>133410</v>
      </c>
      <c r="M146">
        <v>133410</v>
      </c>
      <c r="N146">
        <v>129107</v>
      </c>
      <c r="O146" t="s">
        <v>23</v>
      </c>
      <c r="P146" t="s">
        <v>24</v>
      </c>
    </row>
    <row r="147" spans="1:16" x14ac:dyDescent="0.3">
      <c r="A147" t="s">
        <v>407</v>
      </c>
      <c r="B147" t="str">
        <f>CONCATENATE(Table1[[#This Row],[First Name]]," ",Table1[[#This Row],[Last Name]])</f>
        <v>Donna Dunn</v>
      </c>
      <c r="C147" t="s">
        <v>408</v>
      </c>
      <c r="D147" t="s">
        <v>111</v>
      </c>
      <c r="E147" t="s">
        <v>58</v>
      </c>
      <c r="F147">
        <f t="shared" si="9"/>
        <v>29</v>
      </c>
      <c r="G147">
        <v>29</v>
      </c>
      <c r="H147" t="str">
        <f t="shared" si="10"/>
        <v>Female</v>
      </c>
      <c r="I147" t="s">
        <v>22</v>
      </c>
      <c r="J147">
        <f t="shared" si="11"/>
        <v>190978</v>
      </c>
      <c r="K147">
        <v>190978</v>
      </c>
      <c r="L147">
        <f t="shared" si="12"/>
        <v>232713</v>
      </c>
      <c r="M147">
        <v>232713</v>
      </c>
      <c r="N147">
        <v>133554</v>
      </c>
      <c r="O147" t="s">
        <v>23</v>
      </c>
      <c r="P147" t="s">
        <v>24</v>
      </c>
    </row>
    <row r="148" spans="1:16" x14ac:dyDescent="0.3">
      <c r="A148" t="s">
        <v>409</v>
      </c>
      <c r="B148" t="str">
        <f>CONCATENATE(Table1[[#This Row],[First Name]]," ",Table1[[#This Row],[Last Name]])</f>
        <v>Stanley Whitney</v>
      </c>
      <c r="C148" t="s">
        <v>410</v>
      </c>
      <c r="D148" t="s">
        <v>221</v>
      </c>
      <c r="E148" t="s">
        <v>44</v>
      </c>
      <c r="F148">
        <f t="shared" si="9"/>
        <v>56</v>
      </c>
      <c r="G148">
        <v>56</v>
      </c>
      <c r="H148" t="str">
        <f t="shared" si="10"/>
        <v>Female</v>
      </c>
      <c r="I148" t="s">
        <v>22</v>
      </c>
      <c r="J148">
        <f t="shared" si="11"/>
        <v>3195</v>
      </c>
      <c r="K148">
        <v>3195</v>
      </c>
      <c r="L148">
        <f t="shared" si="12"/>
        <v>296213</v>
      </c>
      <c r="M148">
        <v>296213</v>
      </c>
      <c r="N148">
        <v>58646</v>
      </c>
      <c r="O148" t="s">
        <v>16</v>
      </c>
      <c r="P148" t="s">
        <v>24</v>
      </c>
    </row>
    <row r="149" spans="1:16" x14ac:dyDescent="0.3">
      <c r="A149" t="s">
        <v>411</v>
      </c>
      <c r="B149" t="str">
        <f>CONCATENATE(Table1[[#This Row],[First Name]]," ",Table1[[#This Row],[Last Name]])</f>
        <v>Traci Carter</v>
      </c>
      <c r="C149" t="s">
        <v>412</v>
      </c>
      <c r="D149" t="s">
        <v>413</v>
      </c>
      <c r="E149" t="s">
        <v>21</v>
      </c>
      <c r="F149">
        <f t="shared" si="9"/>
        <v>26</v>
      </c>
      <c r="G149">
        <v>26</v>
      </c>
      <c r="H149" t="str">
        <f t="shared" si="10"/>
        <v>Female</v>
      </c>
      <c r="I149" t="s">
        <v>22</v>
      </c>
      <c r="J149">
        <f t="shared" si="11"/>
        <v>320584</v>
      </c>
      <c r="K149">
        <v>320584</v>
      </c>
      <c r="L149">
        <f t="shared" si="12"/>
        <v>211363</v>
      </c>
      <c r="M149">
        <v>211363</v>
      </c>
      <c r="N149">
        <v>73878</v>
      </c>
      <c r="O149" t="s">
        <v>16</v>
      </c>
      <c r="P149" t="s">
        <v>24</v>
      </c>
    </row>
    <row r="150" spans="1:16" x14ac:dyDescent="0.3">
      <c r="A150" t="s">
        <v>414</v>
      </c>
      <c r="B150" t="str">
        <f>CONCATENATE(Table1[[#This Row],[First Name]]," ",Table1[[#This Row],[Last Name]])</f>
        <v>John Caldwell</v>
      </c>
      <c r="C150" t="s">
        <v>80</v>
      </c>
      <c r="D150" t="s">
        <v>415</v>
      </c>
      <c r="E150" t="s">
        <v>44</v>
      </c>
      <c r="F150">
        <f t="shared" si="9"/>
        <v>33</v>
      </c>
      <c r="G150">
        <v>33</v>
      </c>
      <c r="H150" t="str">
        <f t="shared" si="10"/>
        <v>Female</v>
      </c>
      <c r="I150" t="s">
        <v>22</v>
      </c>
      <c r="J150">
        <f t="shared" si="11"/>
        <v>194588</v>
      </c>
      <c r="K150">
        <v>194588</v>
      </c>
      <c r="L150">
        <f t="shared" si="12"/>
        <v>282284</v>
      </c>
      <c r="M150">
        <v>282284</v>
      </c>
      <c r="N150">
        <v>104731</v>
      </c>
      <c r="O150" t="s">
        <v>16</v>
      </c>
      <c r="P150" t="s">
        <v>24</v>
      </c>
    </row>
    <row r="151" spans="1:16" x14ac:dyDescent="0.3">
      <c r="A151" t="s">
        <v>416</v>
      </c>
      <c r="B151" t="str">
        <f>CONCATENATE(Table1[[#This Row],[First Name]]," ",Table1[[#This Row],[Last Name]])</f>
        <v>Tasha Wilson</v>
      </c>
      <c r="C151" t="s">
        <v>417</v>
      </c>
      <c r="D151" t="s">
        <v>335</v>
      </c>
      <c r="E151" t="s">
        <v>58</v>
      </c>
      <c r="F151">
        <f t="shared" si="9"/>
        <v>44</v>
      </c>
      <c r="G151">
        <v>44</v>
      </c>
      <c r="H151" t="str">
        <f t="shared" si="10"/>
        <v>Female</v>
      </c>
      <c r="I151" t="s">
        <v>22</v>
      </c>
      <c r="J151">
        <f t="shared" si="11"/>
        <v>85080</v>
      </c>
      <c r="K151">
        <v>85080</v>
      </c>
      <c r="L151">
        <f t="shared" si="12"/>
        <v>89756</v>
      </c>
      <c r="M151">
        <v>89756</v>
      </c>
      <c r="N151">
        <v>40451</v>
      </c>
      <c r="O151" t="s">
        <v>23</v>
      </c>
      <c r="P151" t="s">
        <v>24</v>
      </c>
    </row>
    <row r="152" spans="1:16" x14ac:dyDescent="0.3">
      <c r="A152" t="s">
        <v>418</v>
      </c>
      <c r="B152" t="str">
        <f>CONCATENATE(Table1[[#This Row],[First Name]]," ",Table1[[#This Row],[Last Name]])</f>
        <v>Candace Clayton</v>
      </c>
      <c r="C152" t="s">
        <v>419</v>
      </c>
      <c r="D152" t="s">
        <v>420</v>
      </c>
      <c r="E152" t="s">
        <v>14</v>
      </c>
      <c r="F152">
        <f t="shared" si="9"/>
        <v>48</v>
      </c>
      <c r="G152">
        <v>48</v>
      </c>
      <c r="H152" t="str">
        <f t="shared" si="10"/>
        <v>Male</v>
      </c>
      <c r="I152" t="s">
        <v>59</v>
      </c>
      <c r="J152">
        <f t="shared" si="11"/>
        <v>166669</v>
      </c>
      <c r="K152">
        <v>166669</v>
      </c>
      <c r="L152">
        <f t="shared" si="12"/>
        <v>278302</v>
      </c>
      <c r="M152">
        <v>278302</v>
      </c>
      <c r="N152">
        <v>39409</v>
      </c>
      <c r="O152" t="s">
        <v>16</v>
      </c>
      <c r="P152" t="s">
        <v>17</v>
      </c>
    </row>
    <row r="153" spans="1:16" x14ac:dyDescent="0.3">
      <c r="A153" t="s">
        <v>421</v>
      </c>
      <c r="B153" t="str">
        <f>CONCATENATE(Table1[[#This Row],[First Name]]," ",Table1[[#This Row],[Last Name]])</f>
        <v>Catherine Norman</v>
      </c>
      <c r="C153" t="s">
        <v>422</v>
      </c>
      <c r="D153" t="s">
        <v>423</v>
      </c>
      <c r="E153" t="s">
        <v>44</v>
      </c>
      <c r="F153">
        <f t="shared" si="9"/>
        <v>39</v>
      </c>
      <c r="G153">
        <v>39</v>
      </c>
      <c r="H153" t="str">
        <f t="shared" si="10"/>
        <v>Unknown</v>
      </c>
      <c r="J153" s="2">
        <f t="shared" si="11"/>
        <v>252076.51219512196</v>
      </c>
      <c r="L153">
        <f t="shared" si="12"/>
        <v>45731</v>
      </c>
      <c r="M153">
        <v>45731</v>
      </c>
      <c r="N153">
        <v>146843</v>
      </c>
      <c r="O153" t="s">
        <v>33</v>
      </c>
      <c r="P153" t="s">
        <v>17</v>
      </c>
    </row>
    <row r="154" spans="1:16" x14ac:dyDescent="0.3">
      <c r="A154" t="s">
        <v>424</v>
      </c>
      <c r="B154" t="str">
        <f>CONCATENATE(Table1[[#This Row],[First Name]]," ",Table1[[#This Row],[Last Name]])</f>
        <v>Suzanne Brewer</v>
      </c>
      <c r="C154" t="s">
        <v>425</v>
      </c>
      <c r="D154" t="s">
        <v>426</v>
      </c>
      <c r="E154" t="s">
        <v>21</v>
      </c>
      <c r="F154">
        <f t="shared" si="9"/>
        <v>30</v>
      </c>
      <c r="G154">
        <v>30</v>
      </c>
      <c r="H154" t="str">
        <f t="shared" si="10"/>
        <v>Unknown</v>
      </c>
      <c r="J154" s="2">
        <f t="shared" si="11"/>
        <v>252076.51219512196</v>
      </c>
      <c r="L154">
        <f t="shared" si="12"/>
        <v>3666</v>
      </c>
      <c r="M154">
        <v>3666</v>
      </c>
      <c r="N154">
        <v>75322</v>
      </c>
      <c r="O154" t="s">
        <v>16</v>
      </c>
      <c r="P154" t="s">
        <v>17</v>
      </c>
    </row>
    <row r="155" spans="1:16" x14ac:dyDescent="0.3">
      <c r="A155" t="s">
        <v>427</v>
      </c>
      <c r="B155" t="str">
        <f>CONCATENATE(Table1[[#This Row],[First Name]]," ",Table1[[#This Row],[Last Name]])</f>
        <v>Robert Wagner</v>
      </c>
      <c r="C155" t="s">
        <v>267</v>
      </c>
      <c r="D155" t="s">
        <v>428</v>
      </c>
      <c r="E155" t="s">
        <v>58</v>
      </c>
      <c r="F155">
        <f t="shared" si="9"/>
        <v>23</v>
      </c>
      <c r="G155">
        <v>23</v>
      </c>
      <c r="H155" t="str">
        <f t="shared" si="10"/>
        <v>Male</v>
      </c>
      <c r="I155" t="s">
        <v>59</v>
      </c>
      <c r="J155">
        <f t="shared" si="11"/>
        <v>465364</v>
      </c>
      <c r="K155">
        <v>465364</v>
      </c>
      <c r="L155" s="2">
        <f t="shared" si="12"/>
        <v>128434.33333333333</v>
      </c>
      <c r="N155">
        <v>69069</v>
      </c>
      <c r="O155" t="s">
        <v>16</v>
      </c>
      <c r="P155" t="s">
        <v>17</v>
      </c>
    </row>
    <row r="156" spans="1:16" x14ac:dyDescent="0.3">
      <c r="A156" t="s">
        <v>429</v>
      </c>
      <c r="B156" t="str">
        <f>CONCATENATE(Table1[[#This Row],[First Name]]," ",Table1[[#This Row],[Last Name]])</f>
        <v>Bradley Zimmerman</v>
      </c>
      <c r="C156" t="s">
        <v>430</v>
      </c>
      <c r="D156" t="s">
        <v>431</v>
      </c>
      <c r="E156" t="s">
        <v>44</v>
      </c>
      <c r="F156">
        <f t="shared" si="9"/>
        <v>59</v>
      </c>
      <c r="G156">
        <v>59</v>
      </c>
      <c r="H156" t="str">
        <f t="shared" si="10"/>
        <v>Female</v>
      </c>
      <c r="I156" t="s">
        <v>22</v>
      </c>
      <c r="J156">
        <f t="shared" si="11"/>
        <v>466360</v>
      </c>
      <c r="K156">
        <v>466360</v>
      </c>
      <c r="L156">
        <f t="shared" si="12"/>
        <v>287966</v>
      </c>
      <c r="M156">
        <v>287966</v>
      </c>
      <c r="N156">
        <v>78186</v>
      </c>
      <c r="O156" t="s">
        <v>16</v>
      </c>
      <c r="P156" t="s">
        <v>24</v>
      </c>
    </row>
    <row r="157" spans="1:16" x14ac:dyDescent="0.3">
      <c r="A157" t="s">
        <v>432</v>
      </c>
      <c r="B157" t="str">
        <f>CONCATENATE(Table1[[#This Row],[First Name]]," ",Table1[[#This Row],[Last Name]])</f>
        <v>Anthony Holland</v>
      </c>
      <c r="C157" t="s">
        <v>294</v>
      </c>
      <c r="D157" t="s">
        <v>433</v>
      </c>
      <c r="E157" t="s">
        <v>14</v>
      </c>
      <c r="F157">
        <f t="shared" si="9"/>
        <v>32</v>
      </c>
      <c r="G157">
        <v>32</v>
      </c>
      <c r="H157" t="str">
        <f t="shared" si="10"/>
        <v>Male</v>
      </c>
      <c r="I157" t="s">
        <v>59</v>
      </c>
      <c r="J157">
        <f t="shared" si="11"/>
        <v>158712</v>
      </c>
      <c r="K157">
        <v>158712</v>
      </c>
      <c r="L157">
        <f t="shared" si="12"/>
        <v>293271</v>
      </c>
      <c r="M157">
        <v>293271</v>
      </c>
      <c r="N157">
        <v>64545</v>
      </c>
      <c r="O157" t="s">
        <v>23</v>
      </c>
      <c r="P157" t="s">
        <v>24</v>
      </c>
    </row>
    <row r="158" spans="1:16" x14ac:dyDescent="0.3">
      <c r="A158" t="s">
        <v>434</v>
      </c>
      <c r="B158" t="str">
        <f>CONCATENATE(Table1[[#This Row],[First Name]]," ",Table1[[#This Row],[Last Name]])</f>
        <v>Glen Gibson</v>
      </c>
      <c r="C158" t="s">
        <v>435</v>
      </c>
      <c r="D158" t="s">
        <v>436</v>
      </c>
      <c r="E158" t="s">
        <v>14</v>
      </c>
      <c r="F158">
        <f t="shared" si="9"/>
        <v>23</v>
      </c>
      <c r="G158">
        <v>23</v>
      </c>
      <c r="H158" t="str">
        <f t="shared" si="10"/>
        <v>Female</v>
      </c>
      <c r="I158" t="s">
        <v>22</v>
      </c>
      <c r="J158">
        <f t="shared" si="11"/>
        <v>479288</v>
      </c>
      <c r="K158">
        <v>479288</v>
      </c>
      <c r="L158">
        <f t="shared" si="12"/>
        <v>196333</v>
      </c>
      <c r="M158">
        <v>196333</v>
      </c>
      <c r="N158">
        <v>54686</v>
      </c>
      <c r="O158" t="s">
        <v>33</v>
      </c>
      <c r="P158" t="s">
        <v>17</v>
      </c>
    </row>
    <row r="159" spans="1:16" x14ac:dyDescent="0.3">
      <c r="A159" t="s">
        <v>437</v>
      </c>
      <c r="B159" t="str">
        <f>CONCATENATE(Table1[[#This Row],[First Name]]," ",Table1[[#This Row],[Last Name]])</f>
        <v>Marvin Harvey</v>
      </c>
      <c r="C159" t="s">
        <v>438</v>
      </c>
      <c r="D159" t="s">
        <v>439</v>
      </c>
      <c r="E159" t="s">
        <v>48</v>
      </c>
      <c r="F159">
        <f t="shared" si="9"/>
        <v>26</v>
      </c>
      <c r="G159">
        <v>26</v>
      </c>
      <c r="H159" t="str">
        <f t="shared" si="10"/>
        <v>Unknown</v>
      </c>
      <c r="J159">
        <f t="shared" si="11"/>
        <v>410416</v>
      </c>
      <c r="K159">
        <v>410416</v>
      </c>
      <c r="L159">
        <f t="shared" si="12"/>
        <v>278605</v>
      </c>
      <c r="M159">
        <v>278605</v>
      </c>
      <c r="N159">
        <v>117063</v>
      </c>
      <c r="O159" t="s">
        <v>33</v>
      </c>
      <c r="P159" t="s">
        <v>24</v>
      </c>
    </row>
    <row r="160" spans="1:16" x14ac:dyDescent="0.3">
      <c r="A160" t="s">
        <v>440</v>
      </c>
      <c r="B160" t="str">
        <f>CONCATENATE(Table1[[#This Row],[First Name]]," ",Table1[[#This Row],[Last Name]])</f>
        <v>Larry Brown</v>
      </c>
      <c r="C160" t="s">
        <v>441</v>
      </c>
      <c r="D160" t="s">
        <v>89</v>
      </c>
      <c r="E160" t="s">
        <v>21</v>
      </c>
      <c r="F160">
        <f t="shared" si="9"/>
        <v>25</v>
      </c>
      <c r="G160">
        <v>25</v>
      </c>
      <c r="H160" t="str">
        <f t="shared" si="10"/>
        <v>Male</v>
      </c>
      <c r="I160" t="s">
        <v>59</v>
      </c>
      <c r="J160">
        <f t="shared" si="11"/>
        <v>155788</v>
      </c>
      <c r="K160">
        <v>155788</v>
      </c>
      <c r="L160">
        <f t="shared" si="12"/>
        <v>249922</v>
      </c>
      <c r="M160">
        <v>249922</v>
      </c>
      <c r="N160">
        <v>130004</v>
      </c>
      <c r="O160" t="s">
        <v>23</v>
      </c>
      <c r="P160" t="s">
        <v>17</v>
      </c>
    </row>
    <row r="161" spans="1:16" x14ac:dyDescent="0.3">
      <c r="A161" t="s">
        <v>442</v>
      </c>
      <c r="B161" t="str">
        <f>CONCATENATE(Table1[[#This Row],[First Name]]," ",Table1[[#This Row],[Last Name]])</f>
        <v>Mark Jones</v>
      </c>
      <c r="C161" t="s">
        <v>19</v>
      </c>
      <c r="D161" t="s">
        <v>177</v>
      </c>
      <c r="E161" t="s">
        <v>44</v>
      </c>
      <c r="F161">
        <f t="shared" si="9"/>
        <v>35</v>
      </c>
      <c r="G161">
        <v>35</v>
      </c>
      <c r="H161" t="str">
        <f t="shared" si="10"/>
        <v>Male</v>
      </c>
      <c r="I161" t="s">
        <v>59</v>
      </c>
      <c r="J161">
        <f t="shared" si="11"/>
        <v>370236</v>
      </c>
      <c r="K161">
        <v>370236</v>
      </c>
      <c r="L161">
        <f t="shared" si="12"/>
        <v>252371</v>
      </c>
      <c r="M161">
        <v>252371</v>
      </c>
      <c r="N161">
        <v>42405</v>
      </c>
      <c r="O161" t="s">
        <v>33</v>
      </c>
      <c r="P161" t="s">
        <v>17</v>
      </c>
    </row>
    <row r="162" spans="1:16" x14ac:dyDescent="0.3">
      <c r="A162" t="s">
        <v>443</v>
      </c>
      <c r="B162" t="str">
        <f>CONCATENATE(Table1[[#This Row],[First Name]]," ",Table1[[#This Row],[Last Name]])</f>
        <v>Emily Schultz</v>
      </c>
      <c r="C162" t="s">
        <v>363</v>
      </c>
      <c r="D162" t="s">
        <v>444</v>
      </c>
      <c r="E162" t="s">
        <v>58</v>
      </c>
      <c r="F162">
        <f t="shared" si="9"/>
        <v>59</v>
      </c>
      <c r="G162">
        <v>59</v>
      </c>
      <c r="H162" t="str">
        <f t="shared" si="10"/>
        <v>Female</v>
      </c>
      <c r="I162" t="s">
        <v>22</v>
      </c>
      <c r="J162" s="2">
        <f t="shared" si="11"/>
        <v>252076.51219512196</v>
      </c>
      <c r="L162">
        <f t="shared" si="12"/>
        <v>198348</v>
      </c>
      <c r="M162">
        <v>198348</v>
      </c>
      <c r="N162">
        <v>63502</v>
      </c>
      <c r="O162" t="s">
        <v>23</v>
      </c>
      <c r="P162" t="s">
        <v>24</v>
      </c>
    </row>
    <row r="163" spans="1:16" x14ac:dyDescent="0.3">
      <c r="A163" t="s">
        <v>445</v>
      </c>
      <c r="B163" t="str">
        <f>CONCATENATE(Table1[[#This Row],[First Name]]," ",Table1[[#This Row],[Last Name]])</f>
        <v>Adrian Martinez</v>
      </c>
      <c r="C163" t="s">
        <v>446</v>
      </c>
      <c r="D163" t="s">
        <v>447</v>
      </c>
      <c r="E163" t="s">
        <v>58</v>
      </c>
      <c r="F163">
        <f t="shared" si="9"/>
        <v>47</v>
      </c>
      <c r="G163">
        <v>47</v>
      </c>
      <c r="H163" t="str">
        <f t="shared" si="10"/>
        <v>Female</v>
      </c>
      <c r="I163" t="s">
        <v>22</v>
      </c>
      <c r="J163">
        <f t="shared" si="11"/>
        <v>196807</v>
      </c>
      <c r="K163">
        <v>196807</v>
      </c>
      <c r="L163">
        <f t="shared" si="12"/>
        <v>100862</v>
      </c>
      <c r="M163">
        <v>100862</v>
      </c>
      <c r="N163">
        <v>96119</v>
      </c>
      <c r="O163" t="s">
        <v>23</v>
      </c>
      <c r="P163" t="s">
        <v>17</v>
      </c>
    </row>
    <row r="164" spans="1:16" x14ac:dyDescent="0.3">
      <c r="A164" t="s">
        <v>448</v>
      </c>
      <c r="B164" t="str">
        <f>CONCATENATE(Table1[[#This Row],[First Name]]," ",Table1[[#This Row],[Last Name]])</f>
        <v>Nancy Dixon</v>
      </c>
      <c r="C164" t="s">
        <v>449</v>
      </c>
      <c r="D164" t="s">
        <v>450</v>
      </c>
      <c r="E164" t="s">
        <v>21</v>
      </c>
      <c r="F164">
        <f t="shared" si="9"/>
        <v>27</v>
      </c>
      <c r="G164">
        <v>27</v>
      </c>
      <c r="H164" t="str">
        <f t="shared" si="10"/>
        <v>Female</v>
      </c>
      <c r="I164" t="s">
        <v>22</v>
      </c>
      <c r="J164">
        <f t="shared" si="11"/>
        <v>249502</v>
      </c>
      <c r="K164">
        <v>249502</v>
      </c>
      <c r="L164">
        <f t="shared" si="12"/>
        <v>239466</v>
      </c>
      <c r="M164">
        <v>239466</v>
      </c>
      <c r="N164">
        <v>50803</v>
      </c>
      <c r="O164" t="s">
        <v>33</v>
      </c>
      <c r="P164" t="s">
        <v>17</v>
      </c>
    </row>
    <row r="165" spans="1:16" x14ac:dyDescent="0.3">
      <c r="A165" t="s">
        <v>451</v>
      </c>
      <c r="B165" t="str">
        <f>CONCATENATE(Table1[[#This Row],[First Name]]," ",Table1[[#This Row],[Last Name]])</f>
        <v>Ruben Davenport</v>
      </c>
      <c r="C165" t="s">
        <v>452</v>
      </c>
      <c r="D165" t="s">
        <v>453</v>
      </c>
      <c r="E165" t="s">
        <v>14</v>
      </c>
      <c r="F165">
        <f t="shared" si="9"/>
        <v>49</v>
      </c>
      <c r="G165">
        <v>49</v>
      </c>
      <c r="H165" t="str">
        <f t="shared" si="10"/>
        <v>Female</v>
      </c>
      <c r="I165" t="s">
        <v>22</v>
      </c>
      <c r="J165">
        <f t="shared" si="11"/>
        <v>1348</v>
      </c>
      <c r="K165">
        <v>1348</v>
      </c>
      <c r="L165">
        <f t="shared" si="12"/>
        <v>278297</v>
      </c>
      <c r="M165">
        <v>278297</v>
      </c>
      <c r="N165">
        <v>57909</v>
      </c>
      <c r="O165" t="s">
        <v>16</v>
      </c>
      <c r="P165" t="s">
        <v>24</v>
      </c>
    </row>
    <row r="166" spans="1:16" x14ac:dyDescent="0.3">
      <c r="A166" t="s">
        <v>454</v>
      </c>
      <c r="B166" t="str">
        <f>CONCATENATE(Table1[[#This Row],[First Name]]," ",Table1[[#This Row],[Last Name]])</f>
        <v>Natalie Wilson</v>
      </c>
      <c r="C166" t="s">
        <v>455</v>
      </c>
      <c r="D166" t="s">
        <v>335</v>
      </c>
      <c r="E166" t="s">
        <v>14</v>
      </c>
      <c r="F166">
        <f t="shared" si="9"/>
        <v>35</v>
      </c>
      <c r="G166">
        <v>35</v>
      </c>
      <c r="H166" t="str">
        <f t="shared" si="10"/>
        <v>Female</v>
      </c>
      <c r="I166" t="s">
        <v>22</v>
      </c>
      <c r="J166" s="2">
        <f t="shared" si="11"/>
        <v>252076.51219512196</v>
      </c>
      <c r="L166">
        <f t="shared" si="12"/>
        <v>276585</v>
      </c>
      <c r="M166">
        <v>276585</v>
      </c>
      <c r="N166">
        <v>129538</v>
      </c>
      <c r="O166" t="s">
        <v>33</v>
      </c>
      <c r="P166" t="s">
        <v>24</v>
      </c>
    </row>
    <row r="167" spans="1:16" x14ac:dyDescent="0.3">
      <c r="A167" t="s">
        <v>456</v>
      </c>
      <c r="B167" t="str">
        <f>CONCATENATE(Table1[[#This Row],[First Name]]," ",Table1[[#This Row],[Last Name]])</f>
        <v>Mary Mason</v>
      </c>
      <c r="C167" t="s">
        <v>457</v>
      </c>
      <c r="D167" t="s">
        <v>458</v>
      </c>
      <c r="E167" t="s">
        <v>14</v>
      </c>
      <c r="F167">
        <f t="shared" si="9"/>
        <v>48</v>
      </c>
      <c r="G167">
        <v>48</v>
      </c>
      <c r="H167" t="str">
        <f t="shared" si="10"/>
        <v>Male</v>
      </c>
      <c r="I167" t="s">
        <v>59</v>
      </c>
      <c r="J167">
        <f t="shared" si="11"/>
        <v>385522</v>
      </c>
      <c r="K167">
        <v>385522</v>
      </c>
      <c r="L167">
        <f t="shared" si="12"/>
        <v>201718</v>
      </c>
      <c r="M167">
        <v>201718</v>
      </c>
      <c r="N167">
        <v>65198</v>
      </c>
      <c r="O167" t="s">
        <v>23</v>
      </c>
      <c r="P167" t="s">
        <v>17</v>
      </c>
    </row>
    <row r="168" spans="1:16" x14ac:dyDescent="0.3">
      <c r="A168" t="s">
        <v>459</v>
      </c>
      <c r="B168" t="str">
        <f>CONCATENATE(Table1[[#This Row],[First Name]]," ",Table1[[#This Row],[Last Name]])</f>
        <v>Gary Payne</v>
      </c>
      <c r="C168" t="s">
        <v>460</v>
      </c>
      <c r="D168" t="s">
        <v>461</v>
      </c>
      <c r="E168" t="s">
        <v>44</v>
      </c>
      <c r="F168">
        <f t="shared" si="9"/>
        <v>46</v>
      </c>
      <c r="G168">
        <v>46</v>
      </c>
      <c r="H168" t="str">
        <f t="shared" si="10"/>
        <v>Unknown</v>
      </c>
      <c r="J168">
        <f t="shared" si="11"/>
        <v>47320</v>
      </c>
      <c r="K168">
        <v>47320</v>
      </c>
      <c r="L168">
        <f t="shared" si="12"/>
        <v>9</v>
      </c>
      <c r="M168">
        <v>9</v>
      </c>
      <c r="N168">
        <v>74530</v>
      </c>
      <c r="O168" t="s">
        <v>16</v>
      </c>
      <c r="P168" t="s">
        <v>17</v>
      </c>
    </row>
    <row r="169" spans="1:16" x14ac:dyDescent="0.3">
      <c r="A169" t="s">
        <v>462</v>
      </c>
      <c r="B169" t="str">
        <f>CONCATENATE(Table1[[#This Row],[First Name]]," ",Table1[[#This Row],[Last Name]])</f>
        <v>Elizabeth Bernard</v>
      </c>
      <c r="C169" t="s">
        <v>217</v>
      </c>
      <c r="D169" t="s">
        <v>463</v>
      </c>
      <c r="E169" t="s">
        <v>14</v>
      </c>
      <c r="F169">
        <f t="shared" si="9"/>
        <v>52</v>
      </c>
      <c r="G169">
        <v>52</v>
      </c>
      <c r="H169" t="str">
        <f t="shared" si="10"/>
        <v>Female</v>
      </c>
      <c r="I169" t="s">
        <v>22</v>
      </c>
      <c r="J169">
        <f t="shared" si="11"/>
        <v>399377</v>
      </c>
      <c r="K169">
        <v>399377</v>
      </c>
      <c r="L169">
        <f t="shared" si="12"/>
        <v>159636</v>
      </c>
      <c r="M169">
        <v>159636</v>
      </c>
      <c r="N169">
        <v>89547</v>
      </c>
      <c r="O169" t="s">
        <v>33</v>
      </c>
      <c r="P169" t="s">
        <v>24</v>
      </c>
    </row>
    <row r="170" spans="1:16" x14ac:dyDescent="0.3">
      <c r="A170" t="s">
        <v>464</v>
      </c>
      <c r="B170" t="str">
        <f>CONCATENATE(Table1[[#This Row],[First Name]]," ",Table1[[#This Row],[Last Name]])</f>
        <v>Joel Chambers</v>
      </c>
      <c r="C170" t="s">
        <v>465</v>
      </c>
      <c r="D170" t="s">
        <v>466</v>
      </c>
      <c r="E170" t="s">
        <v>21</v>
      </c>
      <c r="F170">
        <f t="shared" si="9"/>
        <v>54</v>
      </c>
      <c r="G170">
        <v>54</v>
      </c>
      <c r="H170" t="str">
        <f t="shared" si="10"/>
        <v>Male</v>
      </c>
      <c r="I170" t="s">
        <v>59</v>
      </c>
      <c r="J170">
        <f t="shared" si="11"/>
        <v>73842</v>
      </c>
      <c r="K170">
        <v>73842</v>
      </c>
      <c r="L170">
        <f t="shared" si="12"/>
        <v>99315</v>
      </c>
      <c r="M170">
        <v>99315</v>
      </c>
      <c r="N170">
        <v>20813</v>
      </c>
      <c r="O170" t="s">
        <v>23</v>
      </c>
      <c r="P170" t="s">
        <v>24</v>
      </c>
    </row>
    <row r="171" spans="1:16" x14ac:dyDescent="0.3">
      <c r="A171" t="s">
        <v>467</v>
      </c>
      <c r="B171" t="str">
        <f>CONCATENATE(Table1[[#This Row],[First Name]]," ",Table1[[#This Row],[Last Name]])</f>
        <v>Anthony Smith</v>
      </c>
      <c r="C171" t="s">
        <v>294</v>
      </c>
      <c r="D171" t="s">
        <v>62</v>
      </c>
      <c r="E171" t="s">
        <v>48</v>
      </c>
      <c r="F171">
        <f t="shared" si="9"/>
        <v>41</v>
      </c>
      <c r="G171">
        <v>41</v>
      </c>
      <c r="H171" t="str">
        <f t="shared" si="10"/>
        <v>Female</v>
      </c>
      <c r="I171" t="s">
        <v>22</v>
      </c>
      <c r="J171">
        <f t="shared" si="11"/>
        <v>486104</v>
      </c>
      <c r="K171">
        <v>486104</v>
      </c>
      <c r="L171">
        <f t="shared" si="12"/>
        <v>64489</v>
      </c>
      <c r="M171">
        <v>64489</v>
      </c>
      <c r="N171">
        <v>137970</v>
      </c>
      <c r="O171" t="s">
        <v>16</v>
      </c>
      <c r="P171" t="s">
        <v>17</v>
      </c>
    </row>
    <row r="172" spans="1:16" x14ac:dyDescent="0.3">
      <c r="A172" t="s">
        <v>468</v>
      </c>
      <c r="B172" t="str">
        <f>CONCATENATE(Table1[[#This Row],[First Name]]," ",Table1[[#This Row],[Last Name]])</f>
        <v>Ann Taylor</v>
      </c>
      <c r="C172" t="s">
        <v>159</v>
      </c>
      <c r="D172" t="s">
        <v>469</v>
      </c>
      <c r="E172" t="s">
        <v>21</v>
      </c>
      <c r="F172" s="2">
        <f t="shared" si="9"/>
        <v>39.868583162217661</v>
      </c>
      <c r="H172" t="str">
        <f t="shared" si="10"/>
        <v>Unknown</v>
      </c>
      <c r="J172">
        <f t="shared" si="11"/>
        <v>17815</v>
      </c>
      <c r="K172">
        <v>17815</v>
      </c>
      <c r="L172" s="2">
        <f t="shared" si="12"/>
        <v>111897</v>
      </c>
      <c r="N172">
        <v>59085</v>
      </c>
      <c r="O172" t="s">
        <v>16</v>
      </c>
      <c r="P172" t="s">
        <v>17</v>
      </c>
    </row>
    <row r="173" spans="1:16" x14ac:dyDescent="0.3">
      <c r="A173" t="s">
        <v>470</v>
      </c>
      <c r="B173" t="str">
        <f>CONCATENATE(Table1[[#This Row],[First Name]]," ",Table1[[#This Row],[Last Name]])</f>
        <v>Jason Chan</v>
      </c>
      <c r="C173" t="s">
        <v>124</v>
      </c>
      <c r="D173" t="s">
        <v>471</v>
      </c>
      <c r="E173" t="s">
        <v>58</v>
      </c>
      <c r="F173">
        <f t="shared" si="9"/>
        <v>40</v>
      </c>
      <c r="G173">
        <v>40</v>
      </c>
      <c r="H173" t="str">
        <f t="shared" si="10"/>
        <v>Male</v>
      </c>
      <c r="I173" t="s">
        <v>59</v>
      </c>
      <c r="J173">
        <f t="shared" si="11"/>
        <v>266550</v>
      </c>
      <c r="K173">
        <v>266550</v>
      </c>
      <c r="L173">
        <f t="shared" si="12"/>
        <v>290872</v>
      </c>
      <c r="M173">
        <v>290872</v>
      </c>
      <c r="N173">
        <v>42254</v>
      </c>
      <c r="O173" t="s">
        <v>16</v>
      </c>
      <c r="P173" t="s">
        <v>24</v>
      </c>
    </row>
    <row r="174" spans="1:16" x14ac:dyDescent="0.3">
      <c r="A174" t="s">
        <v>472</v>
      </c>
      <c r="B174" t="str">
        <f>CONCATENATE(Table1[[#This Row],[First Name]]," ",Table1[[#This Row],[Last Name]])</f>
        <v>Tiffany Duke</v>
      </c>
      <c r="C174" t="s">
        <v>473</v>
      </c>
      <c r="D174" t="s">
        <v>474</v>
      </c>
      <c r="E174" t="s">
        <v>14</v>
      </c>
      <c r="F174">
        <f t="shared" si="9"/>
        <v>55</v>
      </c>
      <c r="G174">
        <v>55</v>
      </c>
      <c r="H174" t="str">
        <f t="shared" si="10"/>
        <v>Male</v>
      </c>
      <c r="I174" t="s">
        <v>59</v>
      </c>
      <c r="J174">
        <f t="shared" si="11"/>
        <v>31173</v>
      </c>
      <c r="K174">
        <v>31173</v>
      </c>
      <c r="L174">
        <f t="shared" si="12"/>
        <v>152109</v>
      </c>
      <c r="M174">
        <v>152109</v>
      </c>
      <c r="N174">
        <v>91439</v>
      </c>
      <c r="O174" t="s">
        <v>33</v>
      </c>
      <c r="P174" t="s">
        <v>24</v>
      </c>
    </row>
    <row r="175" spans="1:16" x14ac:dyDescent="0.3">
      <c r="A175" t="s">
        <v>475</v>
      </c>
      <c r="B175" t="str">
        <f>CONCATENATE(Table1[[#This Row],[First Name]]," ",Table1[[#This Row],[Last Name]])</f>
        <v>Laura White</v>
      </c>
      <c r="C175" t="s">
        <v>327</v>
      </c>
      <c r="D175" t="s">
        <v>93</v>
      </c>
      <c r="E175" t="s">
        <v>58</v>
      </c>
      <c r="F175">
        <f t="shared" si="9"/>
        <v>36</v>
      </c>
      <c r="G175">
        <v>36</v>
      </c>
      <c r="H175" t="str">
        <f t="shared" si="10"/>
        <v>Unknown</v>
      </c>
      <c r="J175">
        <f t="shared" si="11"/>
        <v>435832</v>
      </c>
      <c r="K175">
        <v>435832</v>
      </c>
      <c r="L175" s="2">
        <f t="shared" si="12"/>
        <v>103275.625</v>
      </c>
      <c r="N175">
        <v>61510</v>
      </c>
      <c r="O175" t="s">
        <v>16</v>
      </c>
      <c r="P175" t="s">
        <v>17</v>
      </c>
    </row>
    <row r="176" spans="1:16" x14ac:dyDescent="0.3">
      <c r="A176" t="s">
        <v>476</v>
      </c>
      <c r="B176" t="str">
        <f>CONCATENATE(Table1[[#This Row],[First Name]]," ",Table1[[#This Row],[Last Name]])</f>
        <v>Susan Edwards</v>
      </c>
      <c r="C176" t="s">
        <v>317</v>
      </c>
      <c r="D176" t="s">
        <v>477</v>
      </c>
      <c r="E176" t="s">
        <v>48</v>
      </c>
      <c r="F176">
        <f t="shared" si="9"/>
        <v>50</v>
      </c>
      <c r="G176">
        <v>50</v>
      </c>
      <c r="H176" t="str">
        <f t="shared" si="10"/>
        <v>Male</v>
      </c>
      <c r="I176" t="s">
        <v>59</v>
      </c>
      <c r="J176">
        <f t="shared" si="11"/>
        <v>227860</v>
      </c>
      <c r="K176">
        <v>227860</v>
      </c>
      <c r="L176">
        <f t="shared" si="12"/>
        <v>71296</v>
      </c>
      <c r="M176">
        <v>71296</v>
      </c>
      <c r="N176">
        <v>40696</v>
      </c>
      <c r="O176" t="s">
        <v>23</v>
      </c>
      <c r="P176" t="s">
        <v>24</v>
      </c>
    </row>
    <row r="177" spans="1:16" x14ac:dyDescent="0.3">
      <c r="A177" t="s">
        <v>478</v>
      </c>
      <c r="B177" t="str">
        <f>CONCATENATE(Table1[[#This Row],[First Name]]," ",Table1[[#This Row],[Last Name]])</f>
        <v>Kathy Anderson</v>
      </c>
      <c r="C177" t="s">
        <v>479</v>
      </c>
      <c r="D177" t="s">
        <v>54</v>
      </c>
      <c r="E177" t="s">
        <v>14</v>
      </c>
      <c r="F177">
        <f t="shared" si="9"/>
        <v>54</v>
      </c>
      <c r="G177">
        <v>54</v>
      </c>
      <c r="H177" t="str">
        <f t="shared" si="10"/>
        <v>Female</v>
      </c>
      <c r="I177" t="s">
        <v>22</v>
      </c>
      <c r="J177">
        <f t="shared" si="11"/>
        <v>488221</v>
      </c>
      <c r="K177">
        <v>488221</v>
      </c>
      <c r="L177">
        <f t="shared" si="12"/>
        <v>275631</v>
      </c>
      <c r="M177">
        <v>275631</v>
      </c>
      <c r="N177">
        <v>130107</v>
      </c>
      <c r="O177" t="s">
        <v>16</v>
      </c>
      <c r="P177" t="s">
        <v>24</v>
      </c>
    </row>
    <row r="178" spans="1:16" x14ac:dyDescent="0.3">
      <c r="A178" t="s">
        <v>480</v>
      </c>
      <c r="B178" t="str">
        <f>CONCATENATE(Table1[[#This Row],[First Name]]," ",Table1[[#This Row],[Last Name]])</f>
        <v>Kim Thompson</v>
      </c>
      <c r="C178" t="s">
        <v>481</v>
      </c>
      <c r="D178" t="s">
        <v>148</v>
      </c>
      <c r="E178" t="s">
        <v>58</v>
      </c>
      <c r="F178">
        <f t="shared" si="9"/>
        <v>35</v>
      </c>
      <c r="G178">
        <v>35</v>
      </c>
      <c r="H178" t="str">
        <f t="shared" si="10"/>
        <v>Male</v>
      </c>
      <c r="I178" t="s">
        <v>59</v>
      </c>
      <c r="J178">
        <f t="shared" si="11"/>
        <v>200936</v>
      </c>
      <c r="K178">
        <v>200936</v>
      </c>
      <c r="L178">
        <f t="shared" si="12"/>
        <v>56987</v>
      </c>
      <c r="M178">
        <v>56987</v>
      </c>
      <c r="N178">
        <v>55489</v>
      </c>
      <c r="O178" t="s">
        <v>33</v>
      </c>
      <c r="P178" t="s">
        <v>17</v>
      </c>
    </row>
    <row r="179" spans="1:16" x14ac:dyDescent="0.3">
      <c r="A179" t="s">
        <v>482</v>
      </c>
      <c r="B179" t="str">
        <f>CONCATENATE(Table1[[#This Row],[First Name]]," ",Table1[[#This Row],[Last Name]])</f>
        <v>Sean Houston</v>
      </c>
      <c r="C179" t="s">
        <v>245</v>
      </c>
      <c r="D179" t="s">
        <v>483</v>
      </c>
      <c r="E179" t="s">
        <v>14</v>
      </c>
      <c r="F179">
        <f t="shared" si="9"/>
        <v>27</v>
      </c>
      <c r="G179">
        <v>27</v>
      </c>
      <c r="H179" t="str">
        <f t="shared" si="10"/>
        <v>Female</v>
      </c>
      <c r="I179" t="s">
        <v>22</v>
      </c>
      <c r="J179">
        <f t="shared" si="11"/>
        <v>380462</v>
      </c>
      <c r="K179">
        <v>380462</v>
      </c>
      <c r="L179">
        <f t="shared" si="12"/>
        <v>95783</v>
      </c>
      <c r="M179">
        <v>95783</v>
      </c>
      <c r="N179">
        <v>37390</v>
      </c>
      <c r="O179" t="s">
        <v>23</v>
      </c>
      <c r="P179" t="s">
        <v>17</v>
      </c>
    </row>
    <row r="180" spans="1:16" x14ac:dyDescent="0.3">
      <c r="A180" t="s">
        <v>484</v>
      </c>
      <c r="B180" t="str">
        <f>CONCATENATE(Table1[[#This Row],[First Name]]," ",Table1[[#This Row],[Last Name]])</f>
        <v>Patricia Leblanc</v>
      </c>
      <c r="C180" t="s">
        <v>485</v>
      </c>
      <c r="D180" t="s">
        <v>486</v>
      </c>
      <c r="E180" t="s">
        <v>44</v>
      </c>
      <c r="F180">
        <f t="shared" si="9"/>
        <v>30</v>
      </c>
      <c r="G180">
        <v>30</v>
      </c>
      <c r="H180" t="str">
        <f t="shared" si="10"/>
        <v>Female</v>
      </c>
      <c r="I180" t="s">
        <v>22</v>
      </c>
      <c r="J180">
        <f t="shared" si="11"/>
        <v>46055</v>
      </c>
      <c r="K180">
        <v>46055</v>
      </c>
      <c r="L180" s="2">
        <f t="shared" si="12"/>
        <v>185518.09090909091</v>
      </c>
      <c r="N180">
        <v>140682</v>
      </c>
      <c r="O180" t="s">
        <v>23</v>
      </c>
      <c r="P180" t="s">
        <v>17</v>
      </c>
    </row>
    <row r="181" spans="1:16" x14ac:dyDescent="0.3">
      <c r="A181" t="s">
        <v>487</v>
      </c>
      <c r="B181" t="str">
        <f>CONCATENATE(Table1[[#This Row],[First Name]]," ",Table1[[#This Row],[Last Name]])</f>
        <v>Roberto Ward</v>
      </c>
      <c r="C181" t="s">
        <v>488</v>
      </c>
      <c r="D181" t="s">
        <v>489</v>
      </c>
      <c r="E181" t="s">
        <v>48</v>
      </c>
      <c r="F181">
        <f t="shared" si="9"/>
        <v>29</v>
      </c>
      <c r="G181">
        <v>29</v>
      </c>
      <c r="H181" t="str">
        <f t="shared" si="10"/>
        <v>Female</v>
      </c>
      <c r="I181" t="s">
        <v>22</v>
      </c>
      <c r="J181">
        <f t="shared" si="11"/>
        <v>238355</v>
      </c>
      <c r="K181">
        <v>238355</v>
      </c>
      <c r="L181">
        <f t="shared" si="12"/>
        <v>260567</v>
      </c>
      <c r="M181">
        <v>260567</v>
      </c>
      <c r="N181">
        <v>80549</v>
      </c>
      <c r="O181" t="s">
        <v>33</v>
      </c>
      <c r="P181" t="s">
        <v>17</v>
      </c>
    </row>
    <row r="182" spans="1:16" x14ac:dyDescent="0.3">
      <c r="A182" t="s">
        <v>490</v>
      </c>
      <c r="B182" t="str">
        <f>CONCATENATE(Table1[[#This Row],[First Name]]," ",Table1[[#This Row],[Last Name]])</f>
        <v>Paul Richardson</v>
      </c>
      <c r="C182" t="s">
        <v>375</v>
      </c>
      <c r="D182" t="s">
        <v>491</v>
      </c>
      <c r="E182" t="s">
        <v>14</v>
      </c>
      <c r="F182">
        <f t="shared" si="9"/>
        <v>26</v>
      </c>
      <c r="G182">
        <v>26</v>
      </c>
      <c r="H182" t="str">
        <f t="shared" si="10"/>
        <v>Female</v>
      </c>
      <c r="I182" t="s">
        <v>22</v>
      </c>
      <c r="J182">
        <f t="shared" si="11"/>
        <v>35223</v>
      </c>
      <c r="K182">
        <v>35223</v>
      </c>
      <c r="L182">
        <f t="shared" si="12"/>
        <v>137145</v>
      </c>
      <c r="M182">
        <v>137145</v>
      </c>
      <c r="N182">
        <v>144461</v>
      </c>
      <c r="O182" t="s">
        <v>23</v>
      </c>
      <c r="P182" t="s">
        <v>24</v>
      </c>
    </row>
    <row r="183" spans="1:16" x14ac:dyDescent="0.3">
      <c r="A183" t="s">
        <v>492</v>
      </c>
      <c r="B183" t="str">
        <f>CONCATENATE(Table1[[#This Row],[First Name]]," ",Table1[[#This Row],[Last Name]])</f>
        <v>Jason Pratt</v>
      </c>
      <c r="C183" t="s">
        <v>124</v>
      </c>
      <c r="D183" t="s">
        <v>493</v>
      </c>
      <c r="E183" t="s">
        <v>44</v>
      </c>
      <c r="F183">
        <f t="shared" si="9"/>
        <v>54</v>
      </c>
      <c r="G183">
        <v>54</v>
      </c>
      <c r="H183" t="str">
        <f t="shared" si="10"/>
        <v>Male</v>
      </c>
      <c r="I183" t="s">
        <v>59</v>
      </c>
      <c r="J183">
        <f t="shared" si="11"/>
        <v>3138</v>
      </c>
      <c r="K183">
        <v>3138</v>
      </c>
      <c r="L183">
        <f t="shared" si="12"/>
        <v>197325</v>
      </c>
      <c r="M183">
        <v>197325</v>
      </c>
      <c r="N183">
        <v>65932</v>
      </c>
      <c r="O183" t="s">
        <v>16</v>
      </c>
      <c r="P183" t="s">
        <v>17</v>
      </c>
    </row>
    <row r="184" spans="1:16" x14ac:dyDescent="0.3">
      <c r="A184" t="s">
        <v>494</v>
      </c>
      <c r="B184" t="str">
        <f>CONCATENATE(Table1[[#This Row],[First Name]]," ",Table1[[#This Row],[Last Name]])</f>
        <v>Anthony Hansen</v>
      </c>
      <c r="C184" t="s">
        <v>294</v>
      </c>
      <c r="D184" t="s">
        <v>495</v>
      </c>
      <c r="E184" t="s">
        <v>48</v>
      </c>
      <c r="F184">
        <f t="shared" si="9"/>
        <v>50</v>
      </c>
      <c r="G184">
        <v>50</v>
      </c>
      <c r="H184" t="str">
        <f t="shared" si="10"/>
        <v>Male</v>
      </c>
      <c r="I184" t="s">
        <v>59</v>
      </c>
      <c r="J184">
        <f t="shared" si="11"/>
        <v>426487</v>
      </c>
      <c r="K184">
        <v>426487</v>
      </c>
      <c r="L184">
        <f t="shared" si="12"/>
        <v>176469</v>
      </c>
      <c r="M184">
        <v>176469</v>
      </c>
      <c r="N184">
        <v>121016</v>
      </c>
      <c r="O184" t="s">
        <v>33</v>
      </c>
      <c r="P184" t="s">
        <v>24</v>
      </c>
    </row>
    <row r="185" spans="1:16" x14ac:dyDescent="0.3">
      <c r="A185" t="s">
        <v>496</v>
      </c>
      <c r="B185" t="str">
        <f>CONCATENATE(Table1[[#This Row],[First Name]]," ",Table1[[#This Row],[Last Name]])</f>
        <v>James Murphy</v>
      </c>
      <c r="C185" t="s">
        <v>232</v>
      </c>
      <c r="D185" t="s">
        <v>258</v>
      </c>
      <c r="E185" t="s">
        <v>44</v>
      </c>
      <c r="F185">
        <f t="shared" si="9"/>
        <v>21</v>
      </c>
      <c r="G185">
        <v>21</v>
      </c>
      <c r="H185" t="str">
        <f t="shared" si="10"/>
        <v>Male</v>
      </c>
      <c r="I185" t="s">
        <v>59</v>
      </c>
      <c r="J185">
        <f t="shared" si="11"/>
        <v>442824</v>
      </c>
      <c r="K185">
        <v>442824</v>
      </c>
      <c r="L185">
        <f t="shared" si="12"/>
        <v>185490</v>
      </c>
      <c r="M185">
        <v>185490</v>
      </c>
      <c r="N185">
        <v>132787</v>
      </c>
      <c r="O185" t="s">
        <v>33</v>
      </c>
      <c r="P185" t="s">
        <v>24</v>
      </c>
    </row>
    <row r="186" spans="1:16" x14ac:dyDescent="0.3">
      <c r="A186" t="s">
        <v>497</v>
      </c>
      <c r="B186" t="str">
        <f>CONCATENATE(Table1[[#This Row],[First Name]]," ",Table1[[#This Row],[Last Name]])</f>
        <v>Michelle Myers</v>
      </c>
      <c r="C186" t="s">
        <v>498</v>
      </c>
      <c r="D186" t="s">
        <v>114</v>
      </c>
      <c r="E186" t="s">
        <v>44</v>
      </c>
      <c r="F186">
        <f t="shared" si="9"/>
        <v>39</v>
      </c>
      <c r="G186">
        <v>39</v>
      </c>
      <c r="H186" t="str">
        <f t="shared" si="10"/>
        <v>Male</v>
      </c>
      <c r="I186" t="s">
        <v>59</v>
      </c>
      <c r="J186">
        <f t="shared" si="11"/>
        <v>376223</v>
      </c>
      <c r="K186">
        <v>376223</v>
      </c>
      <c r="L186">
        <f t="shared" si="12"/>
        <v>128406</v>
      </c>
      <c r="M186">
        <v>128406</v>
      </c>
      <c r="N186">
        <v>124081</v>
      </c>
      <c r="O186" t="s">
        <v>33</v>
      </c>
      <c r="P186" t="s">
        <v>24</v>
      </c>
    </row>
    <row r="187" spans="1:16" x14ac:dyDescent="0.3">
      <c r="A187" t="s">
        <v>499</v>
      </c>
      <c r="B187" t="str">
        <f>CONCATENATE(Table1[[#This Row],[First Name]]," ",Table1[[#This Row],[Last Name]])</f>
        <v>Heather Wilson</v>
      </c>
      <c r="C187" t="s">
        <v>500</v>
      </c>
      <c r="D187" t="s">
        <v>335</v>
      </c>
      <c r="E187" t="s">
        <v>44</v>
      </c>
      <c r="F187">
        <f t="shared" si="9"/>
        <v>54</v>
      </c>
      <c r="G187">
        <v>54</v>
      </c>
      <c r="H187" t="str">
        <f t="shared" si="10"/>
        <v>Female</v>
      </c>
      <c r="I187" t="s">
        <v>22</v>
      </c>
      <c r="J187">
        <f t="shared" si="11"/>
        <v>373850</v>
      </c>
      <c r="K187">
        <v>373850</v>
      </c>
      <c r="L187">
        <f t="shared" si="12"/>
        <v>163039</v>
      </c>
      <c r="M187">
        <v>163039</v>
      </c>
      <c r="N187">
        <v>121571</v>
      </c>
      <c r="O187" t="s">
        <v>16</v>
      </c>
      <c r="P187" t="s">
        <v>17</v>
      </c>
    </row>
    <row r="188" spans="1:16" x14ac:dyDescent="0.3">
      <c r="A188" t="s">
        <v>501</v>
      </c>
      <c r="B188" t="str">
        <f>CONCATENATE(Table1[[#This Row],[First Name]]," ",Table1[[#This Row],[Last Name]])</f>
        <v>Traci Rogers</v>
      </c>
      <c r="C188" t="s">
        <v>412</v>
      </c>
      <c r="D188" t="s">
        <v>162</v>
      </c>
      <c r="E188" t="s">
        <v>21</v>
      </c>
      <c r="F188">
        <f t="shared" si="9"/>
        <v>30</v>
      </c>
      <c r="G188">
        <v>30</v>
      </c>
      <c r="H188" t="str">
        <f t="shared" si="10"/>
        <v>Male</v>
      </c>
      <c r="I188" t="s">
        <v>59</v>
      </c>
      <c r="J188">
        <f t="shared" si="11"/>
        <v>490901</v>
      </c>
      <c r="K188">
        <v>490901</v>
      </c>
      <c r="L188">
        <f t="shared" si="12"/>
        <v>180701</v>
      </c>
      <c r="M188">
        <v>180701</v>
      </c>
      <c r="N188">
        <v>78111</v>
      </c>
      <c r="O188" t="s">
        <v>23</v>
      </c>
      <c r="P188" t="s">
        <v>24</v>
      </c>
    </row>
    <row r="189" spans="1:16" x14ac:dyDescent="0.3">
      <c r="A189" t="s">
        <v>502</v>
      </c>
      <c r="B189" t="str">
        <f>CONCATENATE(Table1[[#This Row],[First Name]]," ",Table1[[#This Row],[Last Name]])</f>
        <v>Robert Cline</v>
      </c>
      <c r="C189" t="s">
        <v>267</v>
      </c>
      <c r="D189" t="s">
        <v>306</v>
      </c>
      <c r="E189" t="s">
        <v>44</v>
      </c>
      <c r="F189">
        <f t="shared" si="9"/>
        <v>25</v>
      </c>
      <c r="G189">
        <v>25</v>
      </c>
      <c r="H189" t="str">
        <f t="shared" si="10"/>
        <v>Female</v>
      </c>
      <c r="I189" t="s">
        <v>22</v>
      </c>
      <c r="J189">
        <f t="shared" si="11"/>
        <v>60576</v>
      </c>
      <c r="K189">
        <v>60576</v>
      </c>
      <c r="L189">
        <f t="shared" si="12"/>
        <v>115473</v>
      </c>
      <c r="M189">
        <v>115473</v>
      </c>
      <c r="N189">
        <v>121304</v>
      </c>
      <c r="O189" t="s">
        <v>33</v>
      </c>
      <c r="P189" t="s">
        <v>24</v>
      </c>
    </row>
    <row r="190" spans="1:16" x14ac:dyDescent="0.3">
      <c r="A190" t="s">
        <v>503</v>
      </c>
      <c r="B190" t="str">
        <f>CONCATENATE(Table1[[#This Row],[First Name]]," ",Table1[[#This Row],[Last Name]])</f>
        <v>Jeff Acosta</v>
      </c>
      <c r="C190" t="s">
        <v>504</v>
      </c>
      <c r="D190" t="s">
        <v>381</v>
      </c>
      <c r="E190" t="s">
        <v>21</v>
      </c>
      <c r="F190">
        <f t="shared" si="9"/>
        <v>22</v>
      </c>
      <c r="G190">
        <v>22</v>
      </c>
      <c r="H190" t="str">
        <f t="shared" si="10"/>
        <v>Unknown</v>
      </c>
      <c r="J190">
        <f t="shared" si="11"/>
        <v>393459</v>
      </c>
      <c r="K190">
        <v>393459</v>
      </c>
      <c r="L190">
        <f t="shared" si="12"/>
        <v>58701</v>
      </c>
      <c r="M190">
        <v>58701</v>
      </c>
      <c r="N190">
        <v>116099</v>
      </c>
      <c r="O190" t="s">
        <v>16</v>
      </c>
      <c r="P190" t="s">
        <v>17</v>
      </c>
    </row>
    <row r="191" spans="1:16" x14ac:dyDescent="0.3">
      <c r="A191" t="s">
        <v>505</v>
      </c>
      <c r="B191" t="str">
        <f>CONCATENATE(Table1[[#This Row],[First Name]]," ",Table1[[#This Row],[Last Name]])</f>
        <v>Jeffrey Long</v>
      </c>
      <c r="C191" t="s">
        <v>506</v>
      </c>
      <c r="D191" t="s">
        <v>507</v>
      </c>
      <c r="E191" t="s">
        <v>48</v>
      </c>
      <c r="F191">
        <f t="shared" si="9"/>
        <v>24</v>
      </c>
      <c r="G191">
        <v>24</v>
      </c>
      <c r="H191" t="str">
        <f t="shared" si="10"/>
        <v>Male</v>
      </c>
      <c r="I191" t="s">
        <v>59</v>
      </c>
      <c r="J191">
        <f t="shared" si="11"/>
        <v>137414</v>
      </c>
      <c r="K191">
        <v>137414</v>
      </c>
      <c r="L191">
        <f t="shared" si="12"/>
        <v>29246</v>
      </c>
      <c r="M191">
        <v>29246</v>
      </c>
      <c r="N191">
        <v>118197</v>
      </c>
      <c r="O191" t="s">
        <v>33</v>
      </c>
      <c r="P191" t="s">
        <v>17</v>
      </c>
    </row>
    <row r="192" spans="1:16" x14ac:dyDescent="0.3">
      <c r="A192" t="s">
        <v>508</v>
      </c>
      <c r="B192" t="str">
        <f>CONCATENATE(Table1[[#This Row],[First Name]]," ",Table1[[#This Row],[Last Name]])</f>
        <v>Ashley Moore</v>
      </c>
      <c r="C192" t="s">
        <v>260</v>
      </c>
      <c r="D192" t="s">
        <v>357</v>
      </c>
      <c r="E192" t="s">
        <v>21</v>
      </c>
      <c r="F192">
        <f t="shared" si="9"/>
        <v>57</v>
      </c>
      <c r="G192">
        <v>57</v>
      </c>
      <c r="H192" t="str">
        <f t="shared" si="10"/>
        <v>Female</v>
      </c>
      <c r="I192" t="s">
        <v>22</v>
      </c>
      <c r="J192" s="2">
        <f t="shared" si="11"/>
        <v>252076.51219512196</v>
      </c>
      <c r="L192">
        <f t="shared" si="12"/>
        <v>114677</v>
      </c>
      <c r="M192">
        <v>114677</v>
      </c>
      <c r="N192">
        <v>115143</v>
      </c>
      <c r="O192" t="s">
        <v>33</v>
      </c>
      <c r="P192" t="s">
        <v>24</v>
      </c>
    </row>
    <row r="193" spans="1:16" x14ac:dyDescent="0.3">
      <c r="A193" t="s">
        <v>509</v>
      </c>
      <c r="B193" t="str">
        <f>CONCATENATE(Table1[[#This Row],[First Name]]," ",Table1[[#This Row],[Last Name]])</f>
        <v>Debra Kaufman</v>
      </c>
      <c r="C193" t="s">
        <v>510</v>
      </c>
      <c r="D193" t="s">
        <v>511</v>
      </c>
      <c r="E193" t="s">
        <v>44</v>
      </c>
      <c r="F193">
        <f t="shared" si="9"/>
        <v>55</v>
      </c>
      <c r="G193">
        <v>55</v>
      </c>
      <c r="H193" t="str">
        <f t="shared" si="10"/>
        <v>Female</v>
      </c>
      <c r="I193" t="s">
        <v>22</v>
      </c>
      <c r="J193">
        <f t="shared" si="11"/>
        <v>357817</v>
      </c>
      <c r="K193">
        <v>357817</v>
      </c>
      <c r="L193">
        <f t="shared" si="12"/>
        <v>143134</v>
      </c>
      <c r="M193">
        <v>143134</v>
      </c>
      <c r="N193">
        <v>105627</v>
      </c>
      <c r="O193" t="s">
        <v>33</v>
      </c>
      <c r="P193" t="s">
        <v>24</v>
      </c>
    </row>
    <row r="194" spans="1:16" x14ac:dyDescent="0.3">
      <c r="A194" t="s">
        <v>512</v>
      </c>
      <c r="B194" t="str">
        <f>CONCATENATE(Table1[[#This Row],[First Name]]," ",Table1[[#This Row],[Last Name]])</f>
        <v>Alan Wilson</v>
      </c>
      <c r="C194" t="s">
        <v>383</v>
      </c>
      <c r="D194" t="s">
        <v>335</v>
      </c>
      <c r="E194" t="s">
        <v>21</v>
      </c>
      <c r="F194">
        <f t="shared" ref="F194:F257" si="13">IF(G194="", AVERAGE($G$2:$G$501),G194)</f>
        <v>52</v>
      </c>
      <c r="G194">
        <v>52</v>
      </c>
      <c r="H194" t="str">
        <f t="shared" ref="H194:H257" si="14">IF(I194="","Unknown",I194)</f>
        <v>Female</v>
      </c>
      <c r="I194" t="s">
        <v>22</v>
      </c>
      <c r="J194">
        <f t="shared" ref="J194:J257" si="15">IF(K194="",AVERAGE($K$2:$K$501),K194)</f>
        <v>267301</v>
      </c>
      <c r="K194">
        <v>267301</v>
      </c>
      <c r="L194">
        <f t="shared" ref="L194:L257" si="16">IF(M194="",AVERAGEIF($F$2:$F$501,F194,$M$2:$M$501),M194)</f>
        <v>65147</v>
      </c>
      <c r="M194">
        <v>65147</v>
      </c>
      <c r="N194">
        <v>89017</v>
      </c>
      <c r="O194" t="s">
        <v>23</v>
      </c>
      <c r="P194" t="s">
        <v>24</v>
      </c>
    </row>
    <row r="195" spans="1:16" x14ac:dyDescent="0.3">
      <c r="A195" t="s">
        <v>513</v>
      </c>
      <c r="B195" t="str">
        <f>CONCATENATE(Table1[[#This Row],[First Name]]," ",Table1[[#This Row],[Last Name]])</f>
        <v>Louis Morris</v>
      </c>
      <c r="C195" t="s">
        <v>514</v>
      </c>
      <c r="D195" t="s">
        <v>515</v>
      </c>
      <c r="E195" t="s">
        <v>21</v>
      </c>
      <c r="F195">
        <f t="shared" si="13"/>
        <v>38</v>
      </c>
      <c r="G195">
        <v>38</v>
      </c>
      <c r="H195" t="str">
        <f t="shared" si="14"/>
        <v>Female</v>
      </c>
      <c r="I195" t="s">
        <v>22</v>
      </c>
      <c r="J195">
        <f t="shared" si="15"/>
        <v>38570</v>
      </c>
      <c r="K195">
        <v>38570</v>
      </c>
      <c r="L195">
        <f t="shared" si="16"/>
        <v>172496</v>
      </c>
      <c r="M195">
        <v>172496</v>
      </c>
      <c r="N195">
        <v>50085</v>
      </c>
      <c r="O195" t="s">
        <v>16</v>
      </c>
      <c r="P195" t="s">
        <v>17</v>
      </c>
    </row>
    <row r="196" spans="1:16" x14ac:dyDescent="0.3">
      <c r="A196" t="s">
        <v>516</v>
      </c>
      <c r="B196" t="str">
        <f>CONCATENATE(Table1[[#This Row],[First Name]]," ",Table1[[#This Row],[Last Name]])</f>
        <v>James Young</v>
      </c>
      <c r="C196" t="s">
        <v>232</v>
      </c>
      <c r="D196" t="s">
        <v>13</v>
      </c>
      <c r="E196" t="s">
        <v>48</v>
      </c>
      <c r="F196">
        <f t="shared" si="13"/>
        <v>57</v>
      </c>
      <c r="G196">
        <v>57</v>
      </c>
      <c r="H196" t="str">
        <f t="shared" si="14"/>
        <v>Unknown</v>
      </c>
      <c r="J196">
        <f t="shared" si="15"/>
        <v>142157</v>
      </c>
      <c r="K196">
        <v>142157</v>
      </c>
      <c r="L196">
        <f t="shared" si="16"/>
        <v>294194</v>
      </c>
      <c r="M196">
        <v>294194</v>
      </c>
      <c r="N196">
        <v>143345</v>
      </c>
      <c r="O196" t="s">
        <v>23</v>
      </c>
      <c r="P196" t="s">
        <v>17</v>
      </c>
    </row>
    <row r="197" spans="1:16" x14ac:dyDescent="0.3">
      <c r="A197" t="s">
        <v>517</v>
      </c>
      <c r="B197" t="str">
        <f>CONCATENATE(Table1[[#This Row],[First Name]]," ",Table1[[#This Row],[Last Name]])</f>
        <v>Tina Farley</v>
      </c>
      <c r="C197" t="s">
        <v>518</v>
      </c>
      <c r="D197" t="s">
        <v>519</v>
      </c>
      <c r="E197" t="s">
        <v>48</v>
      </c>
      <c r="F197">
        <f t="shared" si="13"/>
        <v>28</v>
      </c>
      <c r="G197">
        <v>28</v>
      </c>
      <c r="H197" t="str">
        <f t="shared" si="14"/>
        <v>Male</v>
      </c>
      <c r="I197" t="s">
        <v>59</v>
      </c>
      <c r="J197">
        <f t="shared" si="15"/>
        <v>324504</v>
      </c>
      <c r="K197">
        <v>324504</v>
      </c>
      <c r="L197">
        <f t="shared" si="16"/>
        <v>85106</v>
      </c>
      <c r="M197">
        <v>85106</v>
      </c>
      <c r="N197">
        <v>70595</v>
      </c>
      <c r="O197" t="s">
        <v>33</v>
      </c>
      <c r="P197" t="s">
        <v>24</v>
      </c>
    </row>
    <row r="198" spans="1:16" x14ac:dyDescent="0.3">
      <c r="A198" t="s">
        <v>520</v>
      </c>
      <c r="B198" t="str">
        <f>CONCATENATE(Table1[[#This Row],[First Name]]," ",Table1[[#This Row],[Last Name]])</f>
        <v>Dana Murillo</v>
      </c>
      <c r="C198" t="s">
        <v>167</v>
      </c>
      <c r="D198" t="s">
        <v>521</v>
      </c>
      <c r="E198" t="s">
        <v>48</v>
      </c>
      <c r="F198">
        <f t="shared" si="13"/>
        <v>25</v>
      </c>
      <c r="G198">
        <v>25</v>
      </c>
      <c r="H198" t="str">
        <f t="shared" si="14"/>
        <v>Female</v>
      </c>
      <c r="I198" t="s">
        <v>22</v>
      </c>
      <c r="J198">
        <f t="shared" si="15"/>
        <v>385218</v>
      </c>
      <c r="K198">
        <v>385218</v>
      </c>
      <c r="L198">
        <f t="shared" si="16"/>
        <v>56024</v>
      </c>
      <c r="M198">
        <v>56024</v>
      </c>
      <c r="N198">
        <v>74402</v>
      </c>
      <c r="O198" t="s">
        <v>16</v>
      </c>
      <c r="P198" t="s">
        <v>17</v>
      </c>
    </row>
    <row r="199" spans="1:16" x14ac:dyDescent="0.3">
      <c r="A199" t="s">
        <v>522</v>
      </c>
      <c r="B199" t="str">
        <f>CONCATENATE(Table1[[#This Row],[First Name]]," ",Table1[[#This Row],[Last Name]])</f>
        <v>Ronnie Smith</v>
      </c>
      <c r="C199" t="s">
        <v>523</v>
      </c>
      <c r="D199" t="s">
        <v>62</v>
      </c>
      <c r="E199" t="s">
        <v>58</v>
      </c>
      <c r="F199">
        <f t="shared" si="13"/>
        <v>48</v>
      </c>
      <c r="G199">
        <v>48</v>
      </c>
      <c r="H199" t="str">
        <f t="shared" si="14"/>
        <v>Female</v>
      </c>
      <c r="I199" t="s">
        <v>22</v>
      </c>
      <c r="J199">
        <f t="shared" si="15"/>
        <v>273361</v>
      </c>
      <c r="K199">
        <v>273361</v>
      </c>
      <c r="L199">
        <f t="shared" si="16"/>
        <v>84910</v>
      </c>
      <c r="M199">
        <v>84910</v>
      </c>
      <c r="N199">
        <v>106961</v>
      </c>
      <c r="O199" t="s">
        <v>33</v>
      </c>
      <c r="P199" t="s">
        <v>24</v>
      </c>
    </row>
    <row r="200" spans="1:16" x14ac:dyDescent="0.3">
      <c r="A200" t="s">
        <v>524</v>
      </c>
      <c r="B200" t="str">
        <f>CONCATENATE(Table1[[#This Row],[First Name]]," ",Table1[[#This Row],[Last Name]])</f>
        <v>Justin Daniels</v>
      </c>
      <c r="C200" t="s">
        <v>525</v>
      </c>
      <c r="D200" t="s">
        <v>27</v>
      </c>
      <c r="E200" t="s">
        <v>14</v>
      </c>
      <c r="F200">
        <f t="shared" si="13"/>
        <v>30</v>
      </c>
      <c r="G200">
        <v>30</v>
      </c>
      <c r="H200" t="str">
        <f t="shared" si="14"/>
        <v>Female</v>
      </c>
      <c r="I200" t="s">
        <v>22</v>
      </c>
      <c r="J200">
        <f t="shared" si="15"/>
        <v>461653</v>
      </c>
      <c r="K200">
        <v>461653</v>
      </c>
      <c r="L200" s="2">
        <f t="shared" si="16"/>
        <v>185518.09090909091</v>
      </c>
      <c r="N200">
        <v>10221</v>
      </c>
      <c r="O200" t="s">
        <v>23</v>
      </c>
      <c r="P200" t="s">
        <v>17</v>
      </c>
    </row>
    <row r="201" spans="1:16" x14ac:dyDescent="0.3">
      <c r="A201" t="s">
        <v>526</v>
      </c>
      <c r="B201" t="str">
        <f>CONCATENATE(Table1[[#This Row],[First Name]]," ",Table1[[#This Row],[Last Name]])</f>
        <v>Joseph Edwards</v>
      </c>
      <c r="C201" t="s">
        <v>527</v>
      </c>
      <c r="D201" t="s">
        <v>477</v>
      </c>
      <c r="E201" t="s">
        <v>48</v>
      </c>
      <c r="F201">
        <f t="shared" si="13"/>
        <v>33</v>
      </c>
      <c r="G201">
        <v>33</v>
      </c>
      <c r="H201" t="str">
        <f t="shared" si="14"/>
        <v>Female</v>
      </c>
      <c r="I201" t="s">
        <v>22</v>
      </c>
      <c r="J201">
        <f t="shared" si="15"/>
        <v>3706</v>
      </c>
      <c r="K201">
        <v>3706</v>
      </c>
      <c r="L201">
        <f t="shared" si="16"/>
        <v>291665</v>
      </c>
      <c r="M201">
        <v>291665</v>
      </c>
      <c r="N201">
        <v>47241</v>
      </c>
      <c r="O201" t="s">
        <v>33</v>
      </c>
      <c r="P201" t="s">
        <v>24</v>
      </c>
    </row>
    <row r="202" spans="1:16" x14ac:dyDescent="0.3">
      <c r="A202" t="s">
        <v>528</v>
      </c>
      <c r="B202" t="str">
        <f>CONCATENATE(Table1[[#This Row],[First Name]]," ",Table1[[#This Row],[Last Name]])</f>
        <v>Larry Brown</v>
      </c>
      <c r="C202" t="s">
        <v>441</v>
      </c>
      <c r="D202" t="s">
        <v>89</v>
      </c>
      <c r="E202" t="s">
        <v>44</v>
      </c>
      <c r="F202">
        <f t="shared" si="13"/>
        <v>40</v>
      </c>
      <c r="G202">
        <v>40</v>
      </c>
      <c r="H202" t="str">
        <f t="shared" si="14"/>
        <v>Male</v>
      </c>
      <c r="I202" t="s">
        <v>59</v>
      </c>
      <c r="J202">
        <f t="shared" si="15"/>
        <v>160888</v>
      </c>
      <c r="K202">
        <v>160888</v>
      </c>
      <c r="L202">
        <f t="shared" si="16"/>
        <v>201370</v>
      </c>
      <c r="M202">
        <v>201370</v>
      </c>
      <c r="N202">
        <v>131358</v>
      </c>
      <c r="O202" t="s">
        <v>23</v>
      </c>
      <c r="P202" t="s">
        <v>24</v>
      </c>
    </row>
    <row r="203" spans="1:16" x14ac:dyDescent="0.3">
      <c r="A203" t="s">
        <v>529</v>
      </c>
      <c r="B203" t="str">
        <f>CONCATENATE(Table1[[#This Row],[First Name]]," ",Table1[[#This Row],[Last Name]])</f>
        <v>Michael Schroeder</v>
      </c>
      <c r="C203" t="s">
        <v>121</v>
      </c>
      <c r="D203" t="s">
        <v>530</v>
      </c>
      <c r="E203" t="s">
        <v>48</v>
      </c>
      <c r="F203">
        <f t="shared" si="13"/>
        <v>31</v>
      </c>
      <c r="G203">
        <v>31</v>
      </c>
      <c r="H203" t="str">
        <f t="shared" si="14"/>
        <v>Female</v>
      </c>
      <c r="I203" t="s">
        <v>22</v>
      </c>
      <c r="J203">
        <f t="shared" si="15"/>
        <v>173075</v>
      </c>
      <c r="K203">
        <v>173075</v>
      </c>
      <c r="L203">
        <f t="shared" si="16"/>
        <v>196861</v>
      </c>
      <c r="M203">
        <v>196861</v>
      </c>
      <c r="N203">
        <v>38615</v>
      </c>
      <c r="O203" t="s">
        <v>33</v>
      </c>
      <c r="P203" t="s">
        <v>24</v>
      </c>
    </row>
    <row r="204" spans="1:16" x14ac:dyDescent="0.3">
      <c r="A204" t="s">
        <v>531</v>
      </c>
      <c r="B204" t="str">
        <f>CONCATENATE(Table1[[#This Row],[First Name]]," ",Table1[[#This Row],[Last Name]])</f>
        <v>Garrett Cherry</v>
      </c>
      <c r="C204" t="s">
        <v>532</v>
      </c>
      <c r="D204" t="s">
        <v>533</v>
      </c>
      <c r="E204" t="s">
        <v>48</v>
      </c>
      <c r="F204">
        <f t="shared" si="13"/>
        <v>24</v>
      </c>
      <c r="G204">
        <v>24</v>
      </c>
      <c r="H204" t="str">
        <f t="shared" si="14"/>
        <v>Male</v>
      </c>
      <c r="I204" t="s">
        <v>59</v>
      </c>
      <c r="J204">
        <f t="shared" si="15"/>
        <v>399985</v>
      </c>
      <c r="K204">
        <v>399985</v>
      </c>
      <c r="L204">
        <f t="shared" si="16"/>
        <v>29972</v>
      </c>
      <c r="M204">
        <v>29972</v>
      </c>
      <c r="N204">
        <v>11539</v>
      </c>
      <c r="O204" t="s">
        <v>16</v>
      </c>
      <c r="P204" t="s">
        <v>24</v>
      </c>
    </row>
    <row r="205" spans="1:16" x14ac:dyDescent="0.3">
      <c r="A205" t="s">
        <v>534</v>
      </c>
      <c r="B205" t="str">
        <f>CONCATENATE(Table1[[#This Row],[First Name]]," ",Table1[[#This Row],[Last Name]])</f>
        <v>Arthur Mccarthy</v>
      </c>
      <c r="C205" t="s">
        <v>535</v>
      </c>
      <c r="D205" t="s">
        <v>536</v>
      </c>
      <c r="E205" t="s">
        <v>14</v>
      </c>
      <c r="F205">
        <f t="shared" si="13"/>
        <v>43</v>
      </c>
      <c r="G205">
        <v>43</v>
      </c>
      <c r="H205" t="str">
        <f t="shared" si="14"/>
        <v>Male</v>
      </c>
      <c r="I205" t="s">
        <v>59</v>
      </c>
      <c r="J205">
        <f t="shared" si="15"/>
        <v>369506</v>
      </c>
      <c r="K205">
        <v>369506</v>
      </c>
      <c r="L205">
        <f t="shared" si="16"/>
        <v>181233</v>
      </c>
      <c r="M205">
        <v>181233</v>
      </c>
      <c r="N205">
        <v>104626</v>
      </c>
      <c r="O205" t="s">
        <v>23</v>
      </c>
      <c r="P205" t="s">
        <v>17</v>
      </c>
    </row>
    <row r="206" spans="1:16" x14ac:dyDescent="0.3">
      <c r="A206" t="s">
        <v>537</v>
      </c>
      <c r="B206" t="str">
        <f>CONCATENATE(Table1[[#This Row],[First Name]]," ",Table1[[#This Row],[Last Name]])</f>
        <v>Veronica Chaney</v>
      </c>
      <c r="C206" t="s">
        <v>538</v>
      </c>
      <c r="D206" t="s">
        <v>539</v>
      </c>
      <c r="E206" t="s">
        <v>21</v>
      </c>
      <c r="F206">
        <f t="shared" si="13"/>
        <v>53</v>
      </c>
      <c r="G206">
        <v>53</v>
      </c>
      <c r="H206" t="str">
        <f t="shared" si="14"/>
        <v>Male</v>
      </c>
      <c r="I206" t="s">
        <v>59</v>
      </c>
      <c r="J206">
        <f t="shared" si="15"/>
        <v>437459</v>
      </c>
      <c r="K206">
        <v>437459</v>
      </c>
      <c r="L206">
        <f t="shared" si="16"/>
        <v>8915</v>
      </c>
      <c r="M206">
        <v>8915</v>
      </c>
      <c r="N206">
        <v>67898</v>
      </c>
      <c r="O206" t="s">
        <v>23</v>
      </c>
      <c r="P206" t="s">
        <v>17</v>
      </c>
    </row>
    <row r="207" spans="1:16" x14ac:dyDescent="0.3">
      <c r="A207" t="s">
        <v>540</v>
      </c>
      <c r="B207" t="str">
        <f>CONCATENATE(Table1[[#This Row],[First Name]]," ",Table1[[#This Row],[Last Name]])</f>
        <v>Cathy Hill</v>
      </c>
      <c r="C207" t="s">
        <v>541</v>
      </c>
      <c r="D207" t="s">
        <v>117</v>
      </c>
      <c r="E207" t="s">
        <v>14</v>
      </c>
      <c r="F207">
        <f t="shared" si="13"/>
        <v>36</v>
      </c>
      <c r="G207">
        <v>36</v>
      </c>
      <c r="H207" t="str">
        <f t="shared" si="14"/>
        <v>Male</v>
      </c>
      <c r="I207" t="s">
        <v>59</v>
      </c>
      <c r="J207">
        <f t="shared" si="15"/>
        <v>187536</v>
      </c>
      <c r="K207">
        <v>187536</v>
      </c>
      <c r="L207">
        <f t="shared" si="16"/>
        <v>75679</v>
      </c>
      <c r="M207">
        <v>75679</v>
      </c>
      <c r="N207">
        <v>92037</v>
      </c>
      <c r="O207" t="s">
        <v>16</v>
      </c>
      <c r="P207" t="s">
        <v>17</v>
      </c>
    </row>
    <row r="208" spans="1:16" x14ac:dyDescent="0.3">
      <c r="A208" t="s">
        <v>542</v>
      </c>
      <c r="B208" t="str">
        <f>CONCATENATE(Table1[[#This Row],[First Name]]," ",Table1[[#This Row],[Last Name]])</f>
        <v>Jason Costa</v>
      </c>
      <c r="C208" t="s">
        <v>124</v>
      </c>
      <c r="D208" t="s">
        <v>543</v>
      </c>
      <c r="E208" t="s">
        <v>44</v>
      </c>
      <c r="F208">
        <f t="shared" si="13"/>
        <v>49</v>
      </c>
      <c r="G208">
        <v>49</v>
      </c>
      <c r="H208" t="str">
        <f t="shared" si="14"/>
        <v>Female</v>
      </c>
      <c r="I208" t="s">
        <v>22</v>
      </c>
      <c r="J208">
        <f t="shared" si="15"/>
        <v>279710</v>
      </c>
      <c r="K208">
        <v>279710</v>
      </c>
      <c r="L208">
        <f t="shared" si="16"/>
        <v>116645</v>
      </c>
      <c r="M208">
        <v>116645</v>
      </c>
      <c r="N208">
        <v>77897</v>
      </c>
      <c r="O208" t="s">
        <v>33</v>
      </c>
      <c r="P208" t="s">
        <v>17</v>
      </c>
    </row>
    <row r="209" spans="1:16" x14ac:dyDescent="0.3">
      <c r="A209" t="s">
        <v>544</v>
      </c>
      <c r="B209" t="str">
        <f>CONCATENATE(Table1[[#This Row],[First Name]]," ",Table1[[#This Row],[Last Name]])</f>
        <v>Paul Duncan</v>
      </c>
      <c r="C209" t="s">
        <v>375</v>
      </c>
      <c r="D209" t="s">
        <v>545</v>
      </c>
      <c r="E209" t="s">
        <v>58</v>
      </c>
      <c r="F209">
        <f t="shared" si="13"/>
        <v>33</v>
      </c>
      <c r="G209">
        <v>33</v>
      </c>
      <c r="H209" t="str">
        <f t="shared" si="14"/>
        <v>Male</v>
      </c>
      <c r="I209" t="s">
        <v>59</v>
      </c>
      <c r="J209">
        <f t="shared" si="15"/>
        <v>379479</v>
      </c>
      <c r="K209">
        <v>379479</v>
      </c>
      <c r="L209">
        <f t="shared" si="16"/>
        <v>31375</v>
      </c>
      <c r="M209">
        <v>31375</v>
      </c>
      <c r="N209">
        <v>106578</v>
      </c>
      <c r="O209" t="s">
        <v>23</v>
      </c>
      <c r="P209" t="s">
        <v>24</v>
      </c>
    </row>
    <row r="210" spans="1:16" x14ac:dyDescent="0.3">
      <c r="A210" t="s">
        <v>546</v>
      </c>
      <c r="B210" t="str">
        <f>CONCATENATE(Table1[[#This Row],[First Name]]," ",Table1[[#This Row],[Last Name]])</f>
        <v>Manuel Smith</v>
      </c>
      <c r="C210" t="s">
        <v>547</v>
      </c>
      <c r="D210" t="s">
        <v>62</v>
      </c>
      <c r="E210" t="s">
        <v>21</v>
      </c>
      <c r="F210">
        <f t="shared" si="13"/>
        <v>58</v>
      </c>
      <c r="G210">
        <v>58</v>
      </c>
      <c r="H210" t="str">
        <f t="shared" si="14"/>
        <v>Male</v>
      </c>
      <c r="I210" t="s">
        <v>59</v>
      </c>
      <c r="J210">
        <f t="shared" si="15"/>
        <v>441773</v>
      </c>
      <c r="K210">
        <v>441773</v>
      </c>
      <c r="L210">
        <f t="shared" si="16"/>
        <v>259703</v>
      </c>
      <c r="M210">
        <v>259703</v>
      </c>
      <c r="N210">
        <v>39597</v>
      </c>
      <c r="O210" t="s">
        <v>23</v>
      </c>
      <c r="P210" t="s">
        <v>24</v>
      </c>
    </row>
    <row r="211" spans="1:16" x14ac:dyDescent="0.3">
      <c r="A211" t="s">
        <v>548</v>
      </c>
      <c r="B211" t="str">
        <f>CONCATENATE(Table1[[#This Row],[First Name]]," ",Table1[[#This Row],[Last Name]])</f>
        <v>Julie Hahn</v>
      </c>
      <c r="C211" t="s">
        <v>549</v>
      </c>
      <c r="D211" t="s">
        <v>550</v>
      </c>
      <c r="E211" t="s">
        <v>44</v>
      </c>
      <c r="F211">
        <f t="shared" si="13"/>
        <v>41</v>
      </c>
      <c r="G211">
        <v>41</v>
      </c>
      <c r="H211" t="str">
        <f t="shared" si="14"/>
        <v>Male</v>
      </c>
      <c r="I211" t="s">
        <v>59</v>
      </c>
      <c r="J211">
        <f t="shared" si="15"/>
        <v>27728</v>
      </c>
      <c r="K211">
        <v>27728</v>
      </c>
      <c r="L211">
        <f t="shared" si="16"/>
        <v>96516</v>
      </c>
      <c r="M211">
        <v>96516</v>
      </c>
      <c r="N211">
        <v>16978</v>
      </c>
      <c r="O211" t="s">
        <v>33</v>
      </c>
      <c r="P211" t="s">
        <v>17</v>
      </c>
    </row>
    <row r="212" spans="1:16" x14ac:dyDescent="0.3">
      <c r="A212" t="s">
        <v>551</v>
      </c>
      <c r="B212" t="str">
        <f>CONCATENATE(Table1[[#This Row],[First Name]]," ",Table1[[#This Row],[Last Name]])</f>
        <v>Darren Wood</v>
      </c>
      <c r="C212" t="s">
        <v>552</v>
      </c>
      <c r="D212" t="s">
        <v>338</v>
      </c>
      <c r="E212" t="s">
        <v>21</v>
      </c>
      <c r="F212">
        <f t="shared" si="13"/>
        <v>21</v>
      </c>
      <c r="G212">
        <v>21</v>
      </c>
      <c r="H212" t="str">
        <f t="shared" si="14"/>
        <v>Male</v>
      </c>
      <c r="I212" t="s">
        <v>59</v>
      </c>
      <c r="J212">
        <f t="shared" si="15"/>
        <v>374804</v>
      </c>
      <c r="K212">
        <v>374804</v>
      </c>
      <c r="L212">
        <f t="shared" si="16"/>
        <v>131689</v>
      </c>
      <c r="M212">
        <v>131689</v>
      </c>
      <c r="N212">
        <v>45773</v>
      </c>
      <c r="O212" t="s">
        <v>33</v>
      </c>
      <c r="P212" t="s">
        <v>24</v>
      </c>
    </row>
    <row r="213" spans="1:16" x14ac:dyDescent="0.3">
      <c r="A213" t="s">
        <v>553</v>
      </c>
      <c r="B213" t="str">
        <f>CONCATENATE(Table1[[#This Row],[First Name]]," ",Table1[[#This Row],[Last Name]])</f>
        <v>Tyler Castro</v>
      </c>
      <c r="C213" t="s">
        <v>206</v>
      </c>
      <c r="D213" t="s">
        <v>554</v>
      </c>
      <c r="E213" t="s">
        <v>48</v>
      </c>
      <c r="F213">
        <f t="shared" si="13"/>
        <v>32</v>
      </c>
      <c r="G213">
        <v>32</v>
      </c>
      <c r="H213" t="str">
        <f t="shared" si="14"/>
        <v>Male</v>
      </c>
      <c r="I213" t="s">
        <v>59</v>
      </c>
      <c r="J213">
        <f t="shared" si="15"/>
        <v>53731</v>
      </c>
      <c r="K213">
        <v>53731</v>
      </c>
      <c r="L213">
        <f t="shared" si="16"/>
        <v>50989</v>
      </c>
      <c r="M213">
        <v>50989</v>
      </c>
      <c r="N213">
        <v>123390</v>
      </c>
      <c r="O213" t="s">
        <v>16</v>
      </c>
      <c r="P213" t="s">
        <v>24</v>
      </c>
    </row>
    <row r="214" spans="1:16" x14ac:dyDescent="0.3">
      <c r="A214" t="s">
        <v>555</v>
      </c>
      <c r="B214" t="str">
        <f>CONCATENATE(Table1[[#This Row],[First Name]]," ",Table1[[#This Row],[Last Name]])</f>
        <v>Amanda Hicks</v>
      </c>
      <c r="C214" t="s">
        <v>156</v>
      </c>
      <c r="D214" t="s">
        <v>556</v>
      </c>
      <c r="E214" t="s">
        <v>44</v>
      </c>
      <c r="F214">
        <f t="shared" si="13"/>
        <v>40</v>
      </c>
      <c r="G214">
        <v>40</v>
      </c>
      <c r="H214" t="str">
        <f t="shared" si="14"/>
        <v>Female</v>
      </c>
      <c r="I214" t="s">
        <v>22</v>
      </c>
      <c r="J214" s="2">
        <f t="shared" si="15"/>
        <v>252076.51219512196</v>
      </c>
      <c r="L214">
        <f t="shared" si="16"/>
        <v>117495</v>
      </c>
      <c r="M214">
        <v>117495</v>
      </c>
      <c r="N214">
        <v>97688</v>
      </c>
      <c r="O214" t="s">
        <v>33</v>
      </c>
      <c r="P214" t="s">
        <v>24</v>
      </c>
    </row>
    <row r="215" spans="1:16" x14ac:dyDescent="0.3">
      <c r="A215" t="s">
        <v>557</v>
      </c>
      <c r="B215" t="str">
        <f>CONCATENATE(Table1[[#This Row],[First Name]]," ",Table1[[#This Row],[Last Name]])</f>
        <v>George Cox</v>
      </c>
      <c r="C215" t="s">
        <v>380</v>
      </c>
      <c r="D215" t="s">
        <v>558</v>
      </c>
      <c r="E215" t="s">
        <v>58</v>
      </c>
      <c r="F215" s="2">
        <f t="shared" si="13"/>
        <v>39.868583162217661</v>
      </c>
      <c r="H215" t="str">
        <f t="shared" si="14"/>
        <v>Male</v>
      </c>
      <c r="I215" t="s">
        <v>59</v>
      </c>
      <c r="J215">
        <f t="shared" si="15"/>
        <v>467647</v>
      </c>
      <c r="K215">
        <v>467647</v>
      </c>
      <c r="L215" s="2">
        <f t="shared" si="16"/>
        <v>111897</v>
      </c>
      <c r="N215">
        <v>90662</v>
      </c>
      <c r="O215" t="s">
        <v>23</v>
      </c>
      <c r="P215" t="s">
        <v>24</v>
      </c>
    </row>
    <row r="216" spans="1:16" x14ac:dyDescent="0.3">
      <c r="A216" t="s">
        <v>559</v>
      </c>
      <c r="B216" t="str">
        <f>CONCATENATE(Table1[[#This Row],[First Name]]," ",Table1[[#This Row],[Last Name]])</f>
        <v>Justin Smith</v>
      </c>
      <c r="C216" t="s">
        <v>525</v>
      </c>
      <c r="D216" t="s">
        <v>62</v>
      </c>
      <c r="E216" t="s">
        <v>44</v>
      </c>
      <c r="F216">
        <f t="shared" si="13"/>
        <v>51</v>
      </c>
      <c r="G216">
        <v>51</v>
      </c>
      <c r="H216" t="str">
        <f t="shared" si="14"/>
        <v>Unknown</v>
      </c>
      <c r="J216" s="2">
        <f t="shared" si="15"/>
        <v>252076.51219512196</v>
      </c>
      <c r="L216">
        <f t="shared" si="16"/>
        <v>158368</v>
      </c>
      <c r="M216">
        <v>158368</v>
      </c>
      <c r="N216">
        <v>123724</v>
      </c>
      <c r="O216" t="s">
        <v>33</v>
      </c>
      <c r="P216" t="s">
        <v>17</v>
      </c>
    </row>
    <row r="217" spans="1:16" x14ac:dyDescent="0.3">
      <c r="A217" t="s">
        <v>560</v>
      </c>
      <c r="B217" t="str">
        <f>CONCATENATE(Table1[[#This Row],[First Name]]," ",Table1[[#This Row],[Last Name]])</f>
        <v>Vernon Cooke</v>
      </c>
      <c r="C217" t="s">
        <v>561</v>
      </c>
      <c r="D217" t="s">
        <v>562</v>
      </c>
      <c r="E217" t="s">
        <v>21</v>
      </c>
      <c r="F217" s="2">
        <f t="shared" si="13"/>
        <v>39.868583162217661</v>
      </c>
      <c r="H217" t="str">
        <f t="shared" si="14"/>
        <v>Male</v>
      </c>
      <c r="I217" t="s">
        <v>59</v>
      </c>
      <c r="J217">
        <f t="shared" si="15"/>
        <v>333141</v>
      </c>
      <c r="K217">
        <v>333141</v>
      </c>
      <c r="L217">
        <f t="shared" si="16"/>
        <v>103652</v>
      </c>
      <c r="M217">
        <v>103652</v>
      </c>
      <c r="N217">
        <v>108797</v>
      </c>
      <c r="O217" t="s">
        <v>16</v>
      </c>
      <c r="P217" t="s">
        <v>17</v>
      </c>
    </row>
    <row r="218" spans="1:16" x14ac:dyDescent="0.3">
      <c r="A218" t="s">
        <v>563</v>
      </c>
      <c r="B218" t="str">
        <f>CONCATENATE(Table1[[#This Row],[First Name]]," ",Table1[[#This Row],[Last Name]])</f>
        <v>Tony Ramirez</v>
      </c>
      <c r="C218" t="s">
        <v>564</v>
      </c>
      <c r="D218" t="s">
        <v>105</v>
      </c>
      <c r="E218" t="s">
        <v>14</v>
      </c>
      <c r="F218">
        <f t="shared" si="13"/>
        <v>40</v>
      </c>
      <c r="G218">
        <v>40</v>
      </c>
      <c r="H218" t="str">
        <f t="shared" si="14"/>
        <v>Female</v>
      </c>
      <c r="I218" t="s">
        <v>22</v>
      </c>
      <c r="J218">
        <f t="shared" si="15"/>
        <v>198536</v>
      </c>
      <c r="K218">
        <v>198536</v>
      </c>
      <c r="L218">
        <f t="shared" si="16"/>
        <v>117919</v>
      </c>
      <c r="M218">
        <v>117919</v>
      </c>
      <c r="N218">
        <v>146338</v>
      </c>
      <c r="O218" t="s">
        <v>33</v>
      </c>
      <c r="P218" t="s">
        <v>17</v>
      </c>
    </row>
    <row r="219" spans="1:16" x14ac:dyDescent="0.3">
      <c r="A219" t="s">
        <v>565</v>
      </c>
      <c r="B219" t="str">
        <f>CONCATENATE(Table1[[#This Row],[First Name]]," ",Table1[[#This Row],[Last Name]])</f>
        <v>Anthony Esparza</v>
      </c>
      <c r="C219" t="s">
        <v>294</v>
      </c>
      <c r="D219" t="s">
        <v>566</v>
      </c>
      <c r="E219" t="s">
        <v>48</v>
      </c>
      <c r="F219">
        <f t="shared" si="13"/>
        <v>29</v>
      </c>
      <c r="G219">
        <v>29</v>
      </c>
      <c r="H219" t="str">
        <f t="shared" si="14"/>
        <v>Female</v>
      </c>
      <c r="I219" t="s">
        <v>22</v>
      </c>
      <c r="J219">
        <f t="shared" si="15"/>
        <v>162643</v>
      </c>
      <c r="K219">
        <v>162643</v>
      </c>
      <c r="L219">
        <f t="shared" si="16"/>
        <v>232547</v>
      </c>
      <c r="M219">
        <v>232547</v>
      </c>
      <c r="N219">
        <v>134424</v>
      </c>
      <c r="O219" t="s">
        <v>33</v>
      </c>
      <c r="P219" t="s">
        <v>24</v>
      </c>
    </row>
    <row r="220" spans="1:16" x14ac:dyDescent="0.3">
      <c r="A220" t="s">
        <v>567</v>
      </c>
      <c r="B220" t="str">
        <f>CONCATENATE(Table1[[#This Row],[First Name]]," ",Table1[[#This Row],[Last Name]])</f>
        <v>Frederick Valenzuela</v>
      </c>
      <c r="C220" t="s">
        <v>568</v>
      </c>
      <c r="D220" t="s">
        <v>569</v>
      </c>
      <c r="E220" t="s">
        <v>21</v>
      </c>
      <c r="F220">
        <f t="shared" si="13"/>
        <v>57</v>
      </c>
      <c r="G220">
        <v>57</v>
      </c>
      <c r="H220" t="str">
        <f t="shared" si="14"/>
        <v>Unknown</v>
      </c>
      <c r="J220">
        <f t="shared" si="15"/>
        <v>355603</v>
      </c>
      <c r="K220">
        <v>355603</v>
      </c>
      <c r="L220">
        <f t="shared" si="16"/>
        <v>262024</v>
      </c>
      <c r="M220">
        <v>262024</v>
      </c>
      <c r="N220">
        <v>53274</v>
      </c>
      <c r="O220" t="s">
        <v>23</v>
      </c>
      <c r="P220" t="s">
        <v>17</v>
      </c>
    </row>
    <row r="221" spans="1:16" x14ac:dyDescent="0.3">
      <c r="A221" t="s">
        <v>570</v>
      </c>
      <c r="B221" t="str">
        <f>CONCATENATE(Table1[[#This Row],[First Name]]," ",Table1[[#This Row],[Last Name]])</f>
        <v>Katherine Gonzalez</v>
      </c>
      <c r="C221" t="s">
        <v>571</v>
      </c>
      <c r="D221" t="s">
        <v>157</v>
      </c>
      <c r="E221" t="s">
        <v>14</v>
      </c>
      <c r="F221">
        <f t="shared" si="13"/>
        <v>27</v>
      </c>
      <c r="G221">
        <v>27</v>
      </c>
      <c r="H221" t="str">
        <f t="shared" si="14"/>
        <v>Female</v>
      </c>
      <c r="I221" t="s">
        <v>22</v>
      </c>
      <c r="J221">
        <f t="shared" si="15"/>
        <v>246510</v>
      </c>
      <c r="K221">
        <v>246510</v>
      </c>
      <c r="L221">
        <f t="shared" si="16"/>
        <v>252281</v>
      </c>
      <c r="M221">
        <v>252281</v>
      </c>
      <c r="N221">
        <v>77699</v>
      </c>
      <c r="O221" t="s">
        <v>23</v>
      </c>
      <c r="P221" t="s">
        <v>24</v>
      </c>
    </row>
    <row r="222" spans="1:16" x14ac:dyDescent="0.3">
      <c r="A222" t="s">
        <v>572</v>
      </c>
      <c r="B222" t="str">
        <f>CONCATENATE(Table1[[#This Row],[First Name]]," ",Table1[[#This Row],[Last Name]])</f>
        <v>Keith Price</v>
      </c>
      <c r="C222" t="s">
        <v>573</v>
      </c>
      <c r="D222" t="s">
        <v>574</v>
      </c>
      <c r="E222" t="s">
        <v>44</v>
      </c>
      <c r="F222">
        <f t="shared" si="13"/>
        <v>25</v>
      </c>
      <c r="G222">
        <v>25</v>
      </c>
      <c r="H222" t="str">
        <f t="shared" si="14"/>
        <v>Male</v>
      </c>
      <c r="I222" t="s">
        <v>59</v>
      </c>
      <c r="J222">
        <f t="shared" si="15"/>
        <v>92489</v>
      </c>
      <c r="K222">
        <v>92489</v>
      </c>
      <c r="L222">
        <f t="shared" si="16"/>
        <v>68057</v>
      </c>
      <c r="M222">
        <v>68057</v>
      </c>
      <c r="N222">
        <v>83366</v>
      </c>
      <c r="O222" t="s">
        <v>16</v>
      </c>
      <c r="P222" t="s">
        <v>17</v>
      </c>
    </row>
    <row r="223" spans="1:16" x14ac:dyDescent="0.3">
      <c r="A223" t="s">
        <v>575</v>
      </c>
      <c r="B223" t="str">
        <f>CONCATENATE(Table1[[#This Row],[First Name]]," ",Table1[[#This Row],[Last Name]])</f>
        <v>Angela Gillespie</v>
      </c>
      <c r="C223" t="s">
        <v>209</v>
      </c>
      <c r="D223" t="s">
        <v>576</v>
      </c>
      <c r="E223" t="s">
        <v>58</v>
      </c>
      <c r="F223">
        <f t="shared" si="13"/>
        <v>40</v>
      </c>
      <c r="G223">
        <v>40</v>
      </c>
      <c r="H223" t="str">
        <f t="shared" si="14"/>
        <v>Male</v>
      </c>
      <c r="I223" t="s">
        <v>59</v>
      </c>
      <c r="J223">
        <f t="shared" si="15"/>
        <v>449914</v>
      </c>
      <c r="K223">
        <v>449914</v>
      </c>
      <c r="L223">
        <f t="shared" si="16"/>
        <v>181459</v>
      </c>
      <c r="M223">
        <v>181459</v>
      </c>
      <c r="N223">
        <v>97438</v>
      </c>
      <c r="O223" t="s">
        <v>33</v>
      </c>
      <c r="P223" t="s">
        <v>17</v>
      </c>
    </row>
    <row r="224" spans="1:16" x14ac:dyDescent="0.3">
      <c r="A224" t="s">
        <v>577</v>
      </c>
      <c r="B224" t="str">
        <f>CONCATENATE(Table1[[#This Row],[First Name]]," ",Table1[[#This Row],[Last Name]])</f>
        <v>Natalie Valencia</v>
      </c>
      <c r="C224" t="s">
        <v>455</v>
      </c>
      <c r="D224" t="s">
        <v>578</v>
      </c>
      <c r="E224" t="s">
        <v>21</v>
      </c>
      <c r="F224">
        <f t="shared" si="13"/>
        <v>29</v>
      </c>
      <c r="G224">
        <v>29</v>
      </c>
      <c r="H224" t="str">
        <f t="shared" si="14"/>
        <v>Unknown</v>
      </c>
      <c r="J224">
        <f t="shared" si="15"/>
        <v>100430</v>
      </c>
      <c r="K224">
        <v>100430</v>
      </c>
      <c r="L224">
        <f t="shared" si="16"/>
        <v>229577</v>
      </c>
      <c r="M224">
        <v>229577</v>
      </c>
      <c r="N224">
        <v>85300</v>
      </c>
      <c r="O224" t="s">
        <v>16</v>
      </c>
      <c r="P224" t="s">
        <v>17</v>
      </c>
    </row>
    <row r="225" spans="1:16" x14ac:dyDescent="0.3">
      <c r="A225" t="s">
        <v>579</v>
      </c>
      <c r="B225" t="str">
        <f>CONCATENATE(Table1[[#This Row],[First Name]]," ",Table1[[#This Row],[Last Name]])</f>
        <v>Lawrence Richardson</v>
      </c>
      <c r="C225" t="s">
        <v>580</v>
      </c>
      <c r="D225" t="s">
        <v>491</v>
      </c>
      <c r="E225" t="s">
        <v>21</v>
      </c>
      <c r="F225">
        <f t="shared" si="13"/>
        <v>28</v>
      </c>
      <c r="G225">
        <v>28</v>
      </c>
      <c r="H225" t="str">
        <f t="shared" si="14"/>
        <v>Unknown</v>
      </c>
      <c r="J225">
        <f t="shared" si="15"/>
        <v>145754</v>
      </c>
      <c r="K225">
        <v>145754</v>
      </c>
      <c r="L225">
        <f t="shared" si="16"/>
        <v>10382</v>
      </c>
      <c r="M225">
        <v>10382</v>
      </c>
      <c r="N225">
        <v>99604</v>
      </c>
      <c r="O225" t="s">
        <v>16</v>
      </c>
      <c r="P225" t="s">
        <v>17</v>
      </c>
    </row>
    <row r="226" spans="1:16" x14ac:dyDescent="0.3">
      <c r="A226" t="s">
        <v>581</v>
      </c>
      <c r="B226" t="str">
        <f>CONCATENATE(Table1[[#This Row],[First Name]]," ",Table1[[#This Row],[Last Name]])</f>
        <v>Brooke Wheeler</v>
      </c>
      <c r="C226" t="s">
        <v>582</v>
      </c>
      <c r="D226" t="s">
        <v>583</v>
      </c>
      <c r="E226" t="s">
        <v>48</v>
      </c>
      <c r="F226">
        <f t="shared" si="13"/>
        <v>28</v>
      </c>
      <c r="G226">
        <v>28</v>
      </c>
      <c r="H226" t="str">
        <f t="shared" si="14"/>
        <v>Female</v>
      </c>
      <c r="I226" t="s">
        <v>22</v>
      </c>
      <c r="J226">
        <f t="shared" si="15"/>
        <v>490192</v>
      </c>
      <c r="K226">
        <v>490192</v>
      </c>
      <c r="L226">
        <f t="shared" si="16"/>
        <v>260016</v>
      </c>
      <c r="M226">
        <v>260016</v>
      </c>
      <c r="N226">
        <v>35474</v>
      </c>
      <c r="O226" t="s">
        <v>23</v>
      </c>
      <c r="P226" t="s">
        <v>24</v>
      </c>
    </row>
    <row r="227" spans="1:16" x14ac:dyDescent="0.3">
      <c r="A227" t="s">
        <v>584</v>
      </c>
      <c r="B227" t="str">
        <f>CONCATENATE(Table1[[#This Row],[First Name]]," ",Table1[[#This Row],[Last Name]])</f>
        <v>Michael Davis</v>
      </c>
      <c r="C227" t="s">
        <v>121</v>
      </c>
      <c r="D227" t="s">
        <v>585</v>
      </c>
      <c r="E227" t="s">
        <v>44</v>
      </c>
      <c r="F227">
        <f t="shared" si="13"/>
        <v>38</v>
      </c>
      <c r="G227">
        <v>38</v>
      </c>
      <c r="H227" t="str">
        <f t="shared" si="14"/>
        <v>Female</v>
      </c>
      <c r="I227" t="s">
        <v>22</v>
      </c>
      <c r="J227">
        <f t="shared" si="15"/>
        <v>455177</v>
      </c>
      <c r="K227">
        <v>455177</v>
      </c>
      <c r="L227">
        <f t="shared" si="16"/>
        <v>43604</v>
      </c>
      <c r="M227">
        <v>43604</v>
      </c>
      <c r="N227">
        <v>110288</v>
      </c>
      <c r="O227" t="s">
        <v>23</v>
      </c>
      <c r="P227" t="s">
        <v>24</v>
      </c>
    </row>
    <row r="228" spans="1:16" x14ac:dyDescent="0.3">
      <c r="A228" t="s">
        <v>586</v>
      </c>
      <c r="B228" t="str">
        <f>CONCATENATE(Table1[[#This Row],[First Name]]," ",Table1[[#This Row],[Last Name]])</f>
        <v>Susan Martin</v>
      </c>
      <c r="C228" t="s">
        <v>317</v>
      </c>
      <c r="D228" t="s">
        <v>238</v>
      </c>
      <c r="E228" t="s">
        <v>58</v>
      </c>
      <c r="F228">
        <f t="shared" si="13"/>
        <v>35</v>
      </c>
      <c r="G228">
        <v>35</v>
      </c>
      <c r="H228" t="str">
        <f t="shared" si="14"/>
        <v>Female</v>
      </c>
      <c r="I228" t="s">
        <v>22</v>
      </c>
      <c r="J228">
        <f t="shared" si="15"/>
        <v>8503</v>
      </c>
      <c r="K228">
        <v>8503</v>
      </c>
      <c r="L228">
        <f t="shared" si="16"/>
        <v>141166</v>
      </c>
      <c r="M228">
        <v>141166</v>
      </c>
      <c r="N228">
        <v>147723</v>
      </c>
      <c r="O228" t="s">
        <v>16</v>
      </c>
      <c r="P228" t="s">
        <v>24</v>
      </c>
    </row>
    <row r="229" spans="1:16" x14ac:dyDescent="0.3">
      <c r="A229" t="s">
        <v>587</v>
      </c>
      <c r="B229" t="str">
        <f>CONCATENATE(Table1[[#This Row],[First Name]]," ",Table1[[#This Row],[Last Name]])</f>
        <v>Patricia Dickson</v>
      </c>
      <c r="C229" t="s">
        <v>485</v>
      </c>
      <c r="D229" t="s">
        <v>588</v>
      </c>
      <c r="E229" t="s">
        <v>58</v>
      </c>
      <c r="F229">
        <f t="shared" si="13"/>
        <v>44</v>
      </c>
      <c r="G229">
        <v>44</v>
      </c>
      <c r="H229" t="str">
        <f t="shared" si="14"/>
        <v>Female</v>
      </c>
      <c r="I229" t="s">
        <v>22</v>
      </c>
      <c r="J229">
        <f t="shared" si="15"/>
        <v>66769</v>
      </c>
      <c r="K229">
        <v>66769</v>
      </c>
      <c r="L229">
        <f t="shared" si="16"/>
        <v>90077</v>
      </c>
      <c r="M229">
        <v>90077</v>
      </c>
      <c r="N229">
        <v>30896</v>
      </c>
      <c r="O229" t="s">
        <v>16</v>
      </c>
      <c r="P229" t="s">
        <v>24</v>
      </c>
    </row>
    <row r="230" spans="1:16" x14ac:dyDescent="0.3">
      <c r="A230" t="s">
        <v>589</v>
      </c>
      <c r="B230" t="str">
        <f>CONCATENATE(Table1[[#This Row],[First Name]]," ",Table1[[#This Row],[Last Name]])</f>
        <v>Jay Mcbride</v>
      </c>
      <c r="C230" t="s">
        <v>590</v>
      </c>
      <c r="D230" t="s">
        <v>591</v>
      </c>
      <c r="E230" t="s">
        <v>58</v>
      </c>
      <c r="F230">
        <f t="shared" si="13"/>
        <v>33</v>
      </c>
      <c r="G230">
        <v>33</v>
      </c>
      <c r="H230" t="str">
        <f t="shared" si="14"/>
        <v>Male</v>
      </c>
      <c r="I230" t="s">
        <v>59</v>
      </c>
      <c r="J230">
        <f t="shared" si="15"/>
        <v>14098</v>
      </c>
      <c r="K230">
        <v>14098</v>
      </c>
      <c r="L230">
        <f t="shared" si="16"/>
        <v>261495</v>
      </c>
      <c r="M230">
        <v>261495</v>
      </c>
      <c r="N230">
        <v>92688</v>
      </c>
      <c r="O230" t="s">
        <v>33</v>
      </c>
      <c r="P230" t="s">
        <v>24</v>
      </c>
    </row>
    <row r="231" spans="1:16" x14ac:dyDescent="0.3">
      <c r="A231" t="s">
        <v>592</v>
      </c>
      <c r="B231" t="str">
        <f>CONCATENATE(Table1[[#This Row],[First Name]]," ",Table1[[#This Row],[Last Name]])</f>
        <v>Ashley Jones</v>
      </c>
      <c r="C231" t="s">
        <v>260</v>
      </c>
      <c r="D231" t="s">
        <v>177</v>
      </c>
      <c r="E231" t="s">
        <v>14</v>
      </c>
      <c r="F231">
        <f t="shared" si="13"/>
        <v>46</v>
      </c>
      <c r="G231">
        <v>46</v>
      </c>
      <c r="H231" t="str">
        <f t="shared" si="14"/>
        <v>Unknown</v>
      </c>
      <c r="J231">
        <f t="shared" si="15"/>
        <v>32423</v>
      </c>
      <c r="K231">
        <v>32423</v>
      </c>
      <c r="L231">
        <f t="shared" si="16"/>
        <v>92123</v>
      </c>
      <c r="M231">
        <v>92123</v>
      </c>
      <c r="N231">
        <v>91434</v>
      </c>
      <c r="O231" t="s">
        <v>33</v>
      </c>
      <c r="P231" t="s">
        <v>17</v>
      </c>
    </row>
    <row r="232" spans="1:16" x14ac:dyDescent="0.3">
      <c r="A232" t="s">
        <v>593</v>
      </c>
      <c r="B232" t="str">
        <f>CONCATENATE(Table1[[#This Row],[First Name]]," ",Table1[[#This Row],[Last Name]])</f>
        <v>Matthew Andrews</v>
      </c>
      <c r="C232" t="s">
        <v>386</v>
      </c>
      <c r="D232" t="s">
        <v>594</v>
      </c>
      <c r="E232" t="s">
        <v>48</v>
      </c>
      <c r="F232">
        <f t="shared" si="13"/>
        <v>43</v>
      </c>
      <c r="G232">
        <v>43</v>
      </c>
      <c r="H232" t="str">
        <f t="shared" si="14"/>
        <v>Female</v>
      </c>
      <c r="I232" t="s">
        <v>22</v>
      </c>
      <c r="J232">
        <f t="shared" si="15"/>
        <v>495740</v>
      </c>
      <c r="K232">
        <v>495740</v>
      </c>
      <c r="L232">
        <f t="shared" si="16"/>
        <v>260742</v>
      </c>
      <c r="M232">
        <v>260742</v>
      </c>
      <c r="N232">
        <v>65183</v>
      </c>
      <c r="O232" t="s">
        <v>23</v>
      </c>
      <c r="P232" t="s">
        <v>17</v>
      </c>
    </row>
    <row r="233" spans="1:16" x14ac:dyDescent="0.3">
      <c r="A233" t="s">
        <v>595</v>
      </c>
      <c r="B233" t="str">
        <f>CONCATENATE(Table1[[#This Row],[First Name]]," ",Table1[[#This Row],[Last Name]])</f>
        <v>Kevin Murphy</v>
      </c>
      <c r="C233" t="s">
        <v>46</v>
      </c>
      <c r="D233" t="s">
        <v>258</v>
      </c>
      <c r="E233" t="s">
        <v>48</v>
      </c>
      <c r="F233">
        <f t="shared" si="13"/>
        <v>46</v>
      </c>
      <c r="G233">
        <v>46</v>
      </c>
      <c r="H233" t="str">
        <f t="shared" si="14"/>
        <v>Female</v>
      </c>
      <c r="I233" t="s">
        <v>22</v>
      </c>
      <c r="J233">
        <f t="shared" si="15"/>
        <v>142692</v>
      </c>
      <c r="K233">
        <v>142692</v>
      </c>
      <c r="L233">
        <f t="shared" si="16"/>
        <v>89969</v>
      </c>
      <c r="M233">
        <v>89969</v>
      </c>
      <c r="N233">
        <v>58843</v>
      </c>
      <c r="O233" t="s">
        <v>16</v>
      </c>
      <c r="P233" t="s">
        <v>17</v>
      </c>
    </row>
    <row r="234" spans="1:16" x14ac:dyDescent="0.3">
      <c r="A234" t="s">
        <v>596</v>
      </c>
      <c r="B234" t="str">
        <f>CONCATENATE(Table1[[#This Row],[First Name]]," ",Table1[[#This Row],[Last Name]])</f>
        <v>Shaun Weaver</v>
      </c>
      <c r="C234" t="s">
        <v>597</v>
      </c>
      <c r="D234" t="s">
        <v>365</v>
      </c>
      <c r="E234" t="s">
        <v>58</v>
      </c>
      <c r="F234">
        <f t="shared" si="13"/>
        <v>47</v>
      </c>
      <c r="G234">
        <v>47</v>
      </c>
      <c r="H234" t="str">
        <f t="shared" si="14"/>
        <v>Male</v>
      </c>
      <c r="I234" t="s">
        <v>59</v>
      </c>
      <c r="J234">
        <f t="shared" si="15"/>
        <v>39811</v>
      </c>
      <c r="K234">
        <v>39811</v>
      </c>
      <c r="L234">
        <f t="shared" si="16"/>
        <v>54376</v>
      </c>
      <c r="M234">
        <v>54376</v>
      </c>
      <c r="N234">
        <v>132362</v>
      </c>
      <c r="O234" t="s">
        <v>16</v>
      </c>
      <c r="P234" t="s">
        <v>17</v>
      </c>
    </row>
    <row r="235" spans="1:16" x14ac:dyDescent="0.3">
      <c r="A235" t="s">
        <v>598</v>
      </c>
      <c r="B235" t="str">
        <f>CONCATENATE(Table1[[#This Row],[First Name]]," ",Table1[[#This Row],[Last Name]])</f>
        <v>Kimberly Ramirez</v>
      </c>
      <c r="C235" t="s">
        <v>599</v>
      </c>
      <c r="D235" t="s">
        <v>105</v>
      </c>
      <c r="E235" t="s">
        <v>58</v>
      </c>
      <c r="F235">
        <f t="shared" si="13"/>
        <v>41</v>
      </c>
      <c r="G235">
        <v>41</v>
      </c>
      <c r="H235" t="str">
        <f t="shared" si="14"/>
        <v>Male</v>
      </c>
      <c r="I235" t="s">
        <v>59</v>
      </c>
      <c r="J235">
        <f t="shared" si="15"/>
        <v>325458</v>
      </c>
      <c r="K235">
        <v>325458</v>
      </c>
      <c r="L235" s="2">
        <f t="shared" si="16"/>
        <v>124323.75</v>
      </c>
      <c r="N235">
        <v>24131</v>
      </c>
      <c r="O235" t="s">
        <v>33</v>
      </c>
      <c r="P235" t="s">
        <v>17</v>
      </c>
    </row>
    <row r="236" spans="1:16" x14ac:dyDescent="0.3">
      <c r="A236" t="s">
        <v>600</v>
      </c>
      <c r="B236" t="str">
        <f>CONCATENATE(Table1[[#This Row],[First Name]]," ",Table1[[#This Row],[Last Name]])</f>
        <v>Cheryl Martinez</v>
      </c>
      <c r="C236" t="s">
        <v>601</v>
      </c>
      <c r="D236" t="s">
        <v>447</v>
      </c>
      <c r="E236" t="s">
        <v>21</v>
      </c>
      <c r="F236">
        <f t="shared" si="13"/>
        <v>55</v>
      </c>
      <c r="G236">
        <v>55</v>
      </c>
      <c r="H236" t="str">
        <f t="shared" si="14"/>
        <v>Female</v>
      </c>
      <c r="I236" t="s">
        <v>22</v>
      </c>
      <c r="J236">
        <f t="shared" si="15"/>
        <v>498884</v>
      </c>
      <c r="K236">
        <v>498884</v>
      </c>
      <c r="L236">
        <f t="shared" si="16"/>
        <v>157849</v>
      </c>
      <c r="M236">
        <v>157849</v>
      </c>
      <c r="N236">
        <v>24981</v>
      </c>
      <c r="O236" t="s">
        <v>23</v>
      </c>
      <c r="P236" t="s">
        <v>24</v>
      </c>
    </row>
    <row r="237" spans="1:16" x14ac:dyDescent="0.3">
      <c r="A237" t="s">
        <v>602</v>
      </c>
      <c r="B237" t="str">
        <f>CONCATENATE(Table1[[#This Row],[First Name]]," ",Table1[[#This Row],[Last Name]])</f>
        <v>Paul Wells</v>
      </c>
      <c r="C237" t="s">
        <v>375</v>
      </c>
      <c r="D237" t="s">
        <v>603</v>
      </c>
      <c r="E237" t="s">
        <v>44</v>
      </c>
      <c r="F237">
        <f t="shared" si="13"/>
        <v>28</v>
      </c>
      <c r="G237">
        <v>28</v>
      </c>
      <c r="H237" t="str">
        <f t="shared" si="14"/>
        <v>Female</v>
      </c>
      <c r="I237" t="s">
        <v>22</v>
      </c>
      <c r="J237">
        <f t="shared" si="15"/>
        <v>367522</v>
      </c>
      <c r="K237">
        <v>367522</v>
      </c>
      <c r="L237">
        <f t="shared" si="16"/>
        <v>13770</v>
      </c>
      <c r="M237">
        <v>13770</v>
      </c>
      <c r="N237">
        <v>18397</v>
      </c>
      <c r="O237" t="s">
        <v>16</v>
      </c>
      <c r="P237" t="s">
        <v>24</v>
      </c>
    </row>
    <row r="238" spans="1:16" x14ac:dyDescent="0.3">
      <c r="A238" t="s">
        <v>604</v>
      </c>
      <c r="B238" t="str">
        <f>CONCATENATE(Table1[[#This Row],[First Name]]," ",Table1[[#This Row],[Last Name]])</f>
        <v>James Young</v>
      </c>
      <c r="C238" t="s">
        <v>232</v>
      </c>
      <c r="D238" t="s">
        <v>13</v>
      </c>
      <c r="E238" t="s">
        <v>44</v>
      </c>
      <c r="F238">
        <f t="shared" si="13"/>
        <v>30</v>
      </c>
      <c r="G238">
        <v>30</v>
      </c>
      <c r="H238" t="str">
        <f t="shared" si="14"/>
        <v>Female</v>
      </c>
      <c r="I238" t="s">
        <v>22</v>
      </c>
      <c r="J238">
        <f t="shared" si="15"/>
        <v>74573</v>
      </c>
      <c r="K238">
        <v>74573</v>
      </c>
      <c r="L238">
        <f t="shared" si="16"/>
        <v>181531</v>
      </c>
      <c r="M238">
        <v>181531</v>
      </c>
      <c r="N238">
        <v>101609</v>
      </c>
      <c r="O238" t="s">
        <v>23</v>
      </c>
      <c r="P238" t="s">
        <v>17</v>
      </c>
    </row>
    <row r="239" spans="1:16" x14ac:dyDescent="0.3">
      <c r="A239" t="s">
        <v>605</v>
      </c>
      <c r="B239" t="str">
        <f>CONCATENATE(Table1[[#This Row],[First Name]]," ",Table1[[#This Row],[Last Name]])</f>
        <v>Shawn Kerr</v>
      </c>
      <c r="C239" t="s">
        <v>606</v>
      </c>
      <c r="D239" t="s">
        <v>607</v>
      </c>
      <c r="E239" t="s">
        <v>48</v>
      </c>
      <c r="F239">
        <f t="shared" si="13"/>
        <v>58</v>
      </c>
      <c r="G239">
        <v>58</v>
      </c>
      <c r="H239" t="str">
        <f t="shared" si="14"/>
        <v>Unknown</v>
      </c>
      <c r="J239">
        <f t="shared" si="15"/>
        <v>316401</v>
      </c>
      <c r="K239">
        <v>316401</v>
      </c>
      <c r="L239">
        <f t="shared" si="16"/>
        <v>126564</v>
      </c>
      <c r="M239">
        <v>126564</v>
      </c>
      <c r="N239">
        <v>46627</v>
      </c>
      <c r="O239" t="s">
        <v>33</v>
      </c>
      <c r="P239" t="s">
        <v>24</v>
      </c>
    </row>
    <row r="240" spans="1:16" x14ac:dyDescent="0.3">
      <c r="A240" t="s">
        <v>608</v>
      </c>
      <c r="B240" t="str">
        <f>CONCATENATE(Table1[[#This Row],[First Name]]," ",Table1[[#This Row],[Last Name]])</f>
        <v>Kevin Wise</v>
      </c>
      <c r="C240" t="s">
        <v>46</v>
      </c>
      <c r="D240" t="s">
        <v>233</v>
      </c>
      <c r="E240" t="s">
        <v>21</v>
      </c>
      <c r="F240">
        <f t="shared" si="13"/>
        <v>22</v>
      </c>
      <c r="G240">
        <v>22</v>
      </c>
      <c r="H240" t="str">
        <f t="shared" si="14"/>
        <v>Male</v>
      </c>
      <c r="I240" t="s">
        <v>59</v>
      </c>
      <c r="J240" s="2">
        <f t="shared" si="15"/>
        <v>252076.51219512196</v>
      </c>
      <c r="L240">
        <f t="shared" si="16"/>
        <v>125610</v>
      </c>
      <c r="M240">
        <v>125610</v>
      </c>
      <c r="N240">
        <v>144558</v>
      </c>
      <c r="O240" t="s">
        <v>23</v>
      </c>
      <c r="P240" t="s">
        <v>17</v>
      </c>
    </row>
    <row r="241" spans="1:16" x14ac:dyDescent="0.3">
      <c r="A241" t="s">
        <v>609</v>
      </c>
      <c r="B241" t="str">
        <f>CONCATENATE(Table1[[#This Row],[First Name]]," ",Table1[[#This Row],[Last Name]])</f>
        <v>Samuel Horn</v>
      </c>
      <c r="C241" t="s">
        <v>610</v>
      </c>
      <c r="D241" t="s">
        <v>611</v>
      </c>
      <c r="E241" t="s">
        <v>48</v>
      </c>
      <c r="F241">
        <f t="shared" si="13"/>
        <v>44</v>
      </c>
      <c r="G241">
        <v>44</v>
      </c>
      <c r="H241" t="str">
        <f t="shared" si="14"/>
        <v>Male</v>
      </c>
      <c r="I241" t="s">
        <v>59</v>
      </c>
      <c r="J241">
        <f t="shared" si="15"/>
        <v>392968</v>
      </c>
      <c r="K241">
        <v>392968</v>
      </c>
      <c r="L241">
        <f t="shared" si="16"/>
        <v>98440</v>
      </c>
      <c r="M241">
        <v>98440</v>
      </c>
      <c r="N241">
        <v>104452</v>
      </c>
      <c r="O241" t="s">
        <v>16</v>
      </c>
      <c r="P241" t="s">
        <v>24</v>
      </c>
    </row>
    <row r="242" spans="1:16" x14ac:dyDescent="0.3">
      <c r="A242" t="s">
        <v>612</v>
      </c>
      <c r="B242" t="str">
        <f>CONCATENATE(Table1[[#This Row],[First Name]]," ",Table1[[#This Row],[Last Name]])</f>
        <v>Christina Harris</v>
      </c>
      <c r="C242" t="s">
        <v>613</v>
      </c>
      <c r="D242" t="s">
        <v>256</v>
      </c>
      <c r="E242" t="s">
        <v>21</v>
      </c>
      <c r="F242">
        <f t="shared" si="13"/>
        <v>25</v>
      </c>
      <c r="G242">
        <v>25</v>
      </c>
      <c r="H242" t="str">
        <f t="shared" si="14"/>
        <v>Male</v>
      </c>
      <c r="I242" t="s">
        <v>59</v>
      </c>
      <c r="J242">
        <f t="shared" si="15"/>
        <v>141019</v>
      </c>
      <c r="K242">
        <v>141019</v>
      </c>
      <c r="L242">
        <f t="shared" si="16"/>
        <v>237860</v>
      </c>
      <c r="M242">
        <v>237860</v>
      </c>
      <c r="N242">
        <v>76026</v>
      </c>
      <c r="O242" t="s">
        <v>16</v>
      </c>
      <c r="P242" t="s">
        <v>24</v>
      </c>
    </row>
    <row r="243" spans="1:16" x14ac:dyDescent="0.3">
      <c r="A243" t="s">
        <v>614</v>
      </c>
      <c r="B243" t="str">
        <f>CONCATENATE(Table1[[#This Row],[First Name]]," ",Table1[[#This Row],[Last Name]])</f>
        <v>Caitlin Harrison</v>
      </c>
      <c r="C243" t="s">
        <v>615</v>
      </c>
      <c r="D243" t="s">
        <v>616</v>
      </c>
      <c r="E243" t="s">
        <v>58</v>
      </c>
      <c r="F243">
        <f t="shared" si="13"/>
        <v>41</v>
      </c>
      <c r="G243">
        <v>41</v>
      </c>
      <c r="H243" t="str">
        <f t="shared" si="14"/>
        <v>Unknown</v>
      </c>
      <c r="J243">
        <f t="shared" si="15"/>
        <v>26355</v>
      </c>
      <c r="K243">
        <v>26355</v>
      </c>
      <c r="L243">
        <f t="shared" si="16"/>
        <v>288262</v>
      </c>
      <c r="M243">
        <v>288262</v>
      </c>
      <c r="N243">
        <v>140545</v>
      </c>
      <c r="O243" t="s">
        <v>16</v>
      </c>
      <c r="P243" t="s">
        <v>24</v>
      </c>
    </row>
    <row r="244" spans="1:16" x14ac:dyDescent="0.3">
      <c r="A244" t="s">
        <v>617</v>
      </c>
      <c r="B244" t="str">
        <f>CONCATENATE(Table1[[#This Row],[First Name]]," ",Table1[[#This Row],[Last Name]])</f>
        <v>Erin Perez</v>
      </c>
      <c r="C244" t="s">
        <v>618</v>
      </c>
      <c r="D244" t="s">
        <v>619</v>
      </c>
      <c r="E244" t="s">
        <v>44</v>
      </c>
      <c r="F244">
        <f t="shared" si="13"/>
        <v>39</v>
      </c>
      <c r="G244">
        <v>39</v>
      </c>
      <c r="H244" t="str">
        <f t="shared" si="14"/>
        <v>Female</v>
      </c>
      <c r="I244" t="s">
        <v>22</v>
      </c>
      <c r="J244">
        <f t="shared" si="15"/>
        <v>33060</v>
      </c>
      <c r="K244">
        <v>33060</v>
      </c>
      <c r="L244">
        <f t="shared" si="16"/>
        <v>13304</v>
      </c>
      <c r="M244">
        <v>13304</v>
      </c>
      <c r="N244">
        <v>68599</v>
      </c>
      <c r="O244" t="s">
        <v>23</v>
      </c>
      <c r="P244" t="s">
        <v>17</v>
      </c>
    </row>
    <row r="245" spans="1:16" x14ac:dyDescent="0.3">
      <c r="A245" t="s">
        <v>620</v>
      </c>
      <c r="B245" t="str">
        <f>CONCATENATE(Table1[[#This Row],[First Name]]," ",Table1[[#This Row],[Last Name]])</f>
        <v>Michael Johnson</v>
      </c>
      <c r="C245" t="s">
        <v>121</v>
      </c>
      <c r="D245" t="s">
        <v>174</v>
      </c>
      <c r="E245" t="s">
        <v>44</v>
      </c>
      <c r="F245">
        <f t="shared" si="13"/>
        <v>29</v>
      </c>
      <c r="G245">
        <v>29</v>
      </c>
      <c r="H245" t="str">
        <f t="shared" si="14"/>
        <v>Female</v>
      </c>
      <c r="I245" t="s">
        <v>22</v>
      </c>
      <c r="J245">
        <f t="shared" si="15"/>
        <v>225132</v>
      </c>
      <c r="K245">
        <v>225132</v>
      </c>
      <c r="L245" s="2">
        <f t="shared" si="16"/>
        <v>221918.58333333334</v>
      </c>
      <c r="N245">
        <v>138186</v>
      </c>
      <c r="O245" t="s">
        <v>33</v>
      </c>
      <c r="P245" t="s">
        <v>17</v>
      </c>
    </row>
    <row r="246" spans="1:16" x14ac:dyDescent="0.3">
      <c r="A246" t="s">
        <v>621</v>
      </c>
      <c r="B246" t="str">
        <f>CONCATENATE(Table1[[#This Row],[First Name]]," ",Table1[[#This Row],[Last Name]])</f>
        <v>Donna Nelson</v>
      </c>
      <c r="C246" t="s">
        <v>408</v>
      </c>
      <c r="D246" t="s">
        <v>622</v>
      </c>
      <c r="E246" t="s">
        <v>48</v>
      </c>
      <c r="F246">
        <f t="shared" si="13"/>
        <v>32</v>
      </c>
      <c r="G246">
        <v>32</v>
      </c>
      <c r="H246" t="str">
        <f t="shared" si="14"/>
        <v>Male</v>
      </c>
      <c r="I246" t="s">
        <v>59</v>
      </c>
      <c r="J246">
        <f t="shared" si="15"/>
        <v>378162</v>
      </c>
      <c r="K246">
        <v>378162</v>
      </c>
      <c r="L246">
        <f t="shared" si="16"/>
        <v>29771</v>
      </c>
      <c r="M246">
        <v>29771</v>
      </c>
      <c r="N246">
        <v>90666</v>
      </c>
      <c r="O246" t="s">
        <v>23</v>
      </c>
      <c r="P246" t="s">
        <v>17</v>
      </c>
    </row>
    <row r="247" spans="1:16" x14ac:dyDescent="0.3">
      <c r="A247" t="s">
        <v>623</v>
      </c>
      <c r="B247" t="str">
        <f>CONCATENATE(Table1[[#This Row],[First Name]]," ",Table1[[#This Row],[Last Name]])</f>
        <v>Nicole Osborne</v>
      </c>
      <c r="C247" t="s">
        <v>219</v>
      </c>
      <c r="D247" t="s">
        <v>624</v>
      </c>
      <c r="E247" t="s">
        <v>14</v>
      </c>
      <c r="F247">
        <f t="shared" si="13"/>
        <v>51</v>
      </c>
      <c r="G247">
        <v>51</v>
      </c>
      <c r="H247" t="str">
        <f t="shared" si="14"/>
        <v>Male</v>
      </c>
      <c r="I247" t="s">
        <v>59</v>
      </c>
      <c r="J247">
        <f t="shared" si="15"/>
        <v>445852</v>
      </c>
      <c r="K247">
        <v>445852</v>
      </c>
      <c r="L247">
        <f t="shared" si="16"/>
        <v>174166</v>
      </c>
      <c r="M247">
        <v>174166</v>
      </c>
      <c r="N247">
        <v>40816</v>
      </c>
      <c r="O247" t="s">
        <v>33</v>
      </c>
      <c r="P247" t="s">
        <v>24</v>
      </c>
    </row>
    <row r="248" spans="1:16" x14ac:dyDescent="0.3">
      <c r="A248" t="s">
        <v>625</v>
      </c>
      <c r="B248" t="str">
        <f>CONCATENATE(Table1[[#This Row],[First Name]]," ",Table1[[#This Row],[Last Name]])</f>
        <v>Kathleen Pugh</v>
      </c>
      <c r="C248" t="s">
        <v>626</v>
      </c>
      <c r="D248" t="s">
        <v>627</v>
      </c>
      <c r="E248" t="s">
        <v>58</v>
      </c>
      <c r="F248">
        <f t="shared" si="13"/>
        <v>28</v>
      </c>
      <c r="G248">
        <v>28</v>
      </c>
      <c r="H248" t="str">
        <f t="shared" si="14"/>
        <v>Male</v>
      </c>
      <c r="I248" t="s">
        <v>59</v>
      </c>
      <c r="J248">
        <f t="shared" si="15"/>
        <v>374533</v>
      </c>
      <c r="K248">
        <v>374533</v>
      </c>
      <c r="L248">
        <f t="shared" si="16"/>
        <v>202684</v>
      </c>
      <c r="M248">
        <v>202684</v>
      </c>
      <c r="N248">
        <v>58850</v>
      </c>
      <c r="O248" t="s">
        <v>23</v>
      </c>
      <c r="P248" t="s">
        <v>24</v>
      </c>
    </row>
    <row r="249" spans="1:16" x14ac:dyDescent="0.3">
      <c r="A249" t="s">
        <v>628</v>
      </c>
      <c r="B249" t="str">
        <f>CONCATENATE(Table1[[#This Row],[First Name]]," ",Table1[[#This Row],[Last Name]])</f>
        <v>Christopher Mendoza</v>
      </c>
      <c r="C249" t="s">
        <v>61</v>
      </c>
      <c r="D249" t="s">
        <v>629</v>
      </c>
      <c r="E249" t="s">
        <v>48</v>
      </c>
      <c r="F249">
        <f t="shared" si="13"/>
        <v>25</v>
      </c>
      <c r="G249">
        <v>25</v>
      </c>
      <c r="H249" t="str">
        <f t="shared" si="14"/>
        <v>Female</v>
      </c>
      <c r="I249" t="s">
        <v>22</v>
      </c>
      <c r="J249" s="2">
        <f t="shared" si="15"/>
        <v>252076.51219512196</v>
      </c>
      <c r="L249">
        <f t="shared" si="16"/>
        <v>229631</v>
      </c>
      <c r="M249">
        <v>229631</v>
      </c>
      <c r="N249">
        <v>10023</v>
      </c>
      <c r="O249" t="s">
        <v>16</v>
      </c>
      <c r="P249" t="s">
        <v>17</v>
      </c>
    </row>
    <row r="250" spans="1:16" x14ac:dyDescent="0.3">
      <c r="A250" t="s">
        <v>630</v>
      </c>
      <c r="B250" t="str">
        <f>CONCATENATE(Table1[[#This Row],[First Name]]," ",Table1[[#This Row],[Last Name]])</f>
        <v>Chloe Matthews</v>
      </c>
      <c r="C250" t="s">
        <v>302</v>
      </c>
      <c r="D250" t="s">
        <v>631</v>
      </c>
      <c r="E250" t="s">
        <v>58</v>
      </c>
      <c r="F250" s="2">
        <f t="shared" si="13"/>
        <v>39.868583162217661</v>
      </c>
      <c r="H250" t="str">
        <f t="shared" si="14"/>
        <v>Female</v>
      </c>
      <c r="I250" t="s">
        <v>22</v>
      </c>
      <c r="J250">
        <f t="shared" si="15"/>
        <v>64757</v>
      </c>
      <c r="K250">
        <v>64757</v>
      </c>
      <c r="L250">
        <f t="shared" si="16"/>
        <v>137797</v>
      </c>
      <c r="M250">
        <v>137797</v>
      </c>
      <c r="N250">
        <v>81626</v>
      </c>
      <c r="O250" t="s">
        <v>23</v>
      </c>
      <c r="P250" t="s">
        <v>24</v>
      </c>
    </row>
    <row r="251" spans="1:16" x14ac:dyDescent="0.3">
      <c r="A251" t="s">
        <v>632</v>
      </c>
      <c r="B251" t="str">
        <f>CONCATENATE(Table1[[#This Row],[First Name]]," ",Table1[[#This Row],[Last Name]])</f>
        <v>Brent Montes</v>
      </c>
      <c r="C251" t="s">
        <v>64</v>
      </c>
      <c r="D251" t="s">
        <v>633</v>
      </c>
      <c r="E251" t="s">
        <v>14</v>
      </c>
      <c r="F251">
        <f t="shared" si="13"/>
        <v>46</v>
      </c>
      <c r="G251">
        <v>46</v>
      </c>
      <c r="H251" t="str">
        <f t="shared" si="14"/>
        <v>Female</v>
      </c>
      <c r="I251" t="s">
        <v>22</v>
      </c>
      <c r="J251">
        <f t="shared" si="15"/>
        <v>200473</v>
      </c>
      <c r="K251">
        <v>200473</v>
      </c>
      <c r="L251">
        <f t="shared" si="16"/>
        <v>198367</v>
      </c>
      <c r="M251">
        <v>198367</v>
      </c>
      <c r="N251">
        <v>18240</v>
      </c>
      <c r="O251" t="s">
        <v>23</v>
      </c>
      <c r="P251" t="s">
        <v>17</v>
      </c>
    </row>
    <row r="252" spans="1:16" x14ac:dyDescent="0.3">
      <c r="A252" t="s">
        <v>634</v>
      </c>
      <c r="B252" t="str">
        <f>CONCATENATE(Table1[[#This Row],[First Name]]," ",Table1[[#This Row],[Last Name]])</f>
        <v>Brittany Lopez</v>
      </c>
      <c r="C252" t="s">
        <v>53</v>
      </c>
      <c r="D252" t="s">
        <v>192</v>
      </c>
      <c r="E252" t="s">
        <v>21</v>
      </c>
      <c r="F252">
        <f t="shared" si="13"/>
        <v>29</v>
      </c>
      <c r="G252">
        <v>29</v>
      </c>
      <c r="H252" t="str">
        <f t="shared" si="14"/>
        <v>Male</v>
      </c>
      <c r="I252" t="s">
        <v>59</v>
      </c>
      <c r="J252">
        <f t="shared" si="15"/>
        <v>133874</v>
      </c>
      <c r="K252">
        <v>133874</v>
      </c>
      <c r="L252">
        <f t="shared" si="16"/>
        <v>230994</v>
      </c>
      <c r="M252">
        <v>230994</v>
      </c>
      <c r="N252">
        <v>60374</v>
      </c>
      <c r="O252" t="s">
        <v>23</v>
      </c>
      <c r="P252" t="s">
        <v>17</v>
      </c>
    </row>
    <row r="253" spans="1:16" x14ac:dyDescent="0.3">
      <c r="A253" t="s">
        <v>635</v>
      </c>
      <c r="B253" t="str">
        <f>CONCATENATE(Table1[[#This Row],[First Name]]," ",Table1[[#This Row],[Last Name]])</f>
        <v>Patrick Butler</v>
      </c>
      <c r="C253" t="s">
        <v>390</v>
      </c>
      <c r="D253" t="s">
        <v>636</v>
      </c>
      <c r="E253" t="s">
        <v>48</v>
      </c>
      <c r="F253">
        <f t="shared" si="13"/>
        <v>32</v>
      </c>
      <c r="G253">
        <v>32</v>
      </c>
      <c r="H253" t="str">
        <f t="shared" si="14"/>
        <v>Female</v>
      </c>
      <c r="I253" t="s">
        <v>22</v>
      </c>
      <c r="J253">
        <f t="shared" si="15"/>
        <v>120800</v>
      </c>
      <c r="K253">
        <v>120800</v>
      </c>
      <c r="L253">
        <f t="shared" si="16"/>
        <v>193983</v>
      </c>
      <c r="M253">
        <v>193983</v>
      </c>
      <c r="N253">
        <v>72555</v>
      </c>
      <c r="O253" t="s">
        <v>33</v>
      </c>
      <c r="P253" t="s">
        <v>24</v>
      </c>
    </row>
    <row r="254" spans="1:16" x14ac:dyDescent="0.3">
      <c r="A254" t="s">
        <v>637</v>
      </c>
      <c r="B254" t="str">
        <f>CONCATENATE(Table1[[#This Row],[First Name]]," ",Table1[[#This Row],[Last Name]])</f>
        <v>Brianna White</v>
      </c>
      <c r="C254" t="s">
        <v>638</v>
      </c>
      <c r="D254" t="s">
        <v>93</v>
      </c>
      <c r="E254" t="s">
        <v>44</v>
      </c>
      <c r="F254">
        <f t="shared" si="13"/>
        <v>21</v>
      </c>
      <c r="G254">
        <v>21</v>
      </c>
      <c r="H254" t="str">
        <f t="shared" si="14"/>
        <v>Female</v>
      </c>
      <c r="I254" t="s">
        <v>22</v>
      </c>
      <c r="J254">
        <f t="shared" si="15"/>
        <v>24494</v>
      </c>
      <c r="K254">
        <v>24494</v>
      </c>
      <c r="L254" s="2">
        <f t="shared" si="16"/>
        <v>113155</v>
      </c>
      <c r="N254">
        <v>10107</v>
      </c>
      <c r="O254" t="s">
        <v>23</v>
      </c>
      <c r="P254" t="s">
        <v>17</v>
      </c>
    </row>
    <row r="255" spans="1:16" x14ac:dyDescent="0.3">
      <c r="A255" t="s">
        <v>639</v>
      </c>
      <c r="B255" t="str">
        <f>CONCATENATE(Table1[[#This Row],[First Name]]," ",Table1[[#This Row],[Last Name]])</f>
        <v>Brandon Sullivan</v>
      </c>
      <c r="C255" t="s">
        <v>640</v>
      </c>
      <c r="D255" t="s">
        <v>641</v>
      </c>
      <c r="E255" t="s">
        <v>14</v>
      </c>
      <c r="F255">
        <f t="shared" si="13"/>
        <v>43</v>
      </c>
      <c r="G255">
        <v>43</v>
      </c>
      <c r="H255" t="str">
        <f t="shared" si="14"/>
        <v>Male</v>
      </c>
      <c r="I255" t="s">
        <v>59</v>
      </c>
      <c r="J255">
        <f t="shared" si="15"/>
        <v>60001</v>
      </c>
      <c r="K255">
        <v>60001</v>
      </c>
      <c r="L255">
        <f t="shared" si="16"/>
        <v>242413</v>
      </c>
      <c r="M255">
        <v>242413</v>
      </c>
      <c r="N255">
        <v>12218</v>
      </c>
      <c r="O255" t="s">
        <v>33</v>
      </c>
      <c r="P255" t="s">
        <v>17</v>
      </c>
    </row>
    <row r="256" spans="1:16" x14ac:dyDescent="0.3">
      <c r="A256" t="s">
        <v>642</v>
      </c>
      <c r="B256" t="str">
        <f>CONCATENATE(Table1[[#This Row],[First Name]]," ",Table1[[#This Row],[Last Name]])</f>
        <v>Sarah Johnson</v>
      </c>
      <c r="C256" t="s">
        <v>643</v>
      </c>
      <c r="D256" t="s">
        <v>174</v>
      </c>
      <c r="E256" t="s">
        <v>14</v>
      </c>
      <c r="F256">
        <f t="shared" si="13"/>
        <v>44</v>
      </c>
      <c r="G256">
        <v>44</v>
      </c>
      <c r="H256" t="str">
        <f t="shared" si="14"/>
        <v>Female</v>
      </c>
      <c r="I256" t="s">
        <v>22</v>
      </c>
      <c r="J256">
        <f t="shared" si="15"/>
        <v>3592</v>
      </c>
      <c r="K256">
        <v>3592</v>
      </c>
      <c r="L256">
        <f t="shared" si="16"/>
        <v>100851</v>
      </c>
      <c r="M256">
        <v>100851</v>
      </c>
      <c r="N256">
        <v>62228</v>
      </c>
      <c r="O256" t="s">
        <v>16</v>
      </c>
      <c r="P256" t="s">
        <v>24</v>
      </c>
    </row>
    <row r="257" spans="1:16" x14ac:dyDescent="0.3">
      <c r="A257" t="s">
        <v>644</v>
      </c>
      <c r="B257" t="str">
        <f>CONCATENATE(Table1[[#This Row],[First Name]]," ",Table1[[#This Row],[Last Name]])</f>
        <v>Connor Callahan</v>
      </c>
      <c r="C257" t="s">
        <v>645</v>
      </c>
      <c r="D257" t="s">
        <v>393</v>
      </c>
      <c r="E257" t="s">
        <v>21</v>
      </c>
      <c r="F257">
        <f t="shared" si="13"/>
        <v>33</v>
      </c>
      <c r="G257">
        <v>33</v>
      </c>
      <c r="H257" t="str">
        <f t="shared" si="14"/>
        <v>Male</v>
      </c>
      <c r="I257" t="s">
        <v>59</v>
      </c>
      <c r="J257">
        <f t="shared" si="15"/>
        <v>181826</v>
      </c>
      <c r="K257">
        <v>181826</v>
      </c>
      <c r="L257">
        <f t="shared" si="16"/>
        <v>165665</v>
      </c>
      <c r="M257">
        <v>165665</v>
      </c>
      <c r="N257">
        <v>88736</v>
      </c>
      <c r="O257" t="s">
        <v>23</v>
      </c>
      <c r="P257" t="s">
        <v>17</v>
      </c>
    </row>
    <row r="258" spans="1:16" x14ac:dyDescent="0.3">
      <c r="A258" t="s">
        <v>646</v>
      </c>
      <c r="B258" t="str">
        <f>CONCATENATE(Table1[[#This Row],[First Name]]," ",Table1[[#This Row],[Last Name]])</f>
        <v>Elizabeth Cohen</v>
      </c>
      <c r="C258" t="s">
        <v>217</v>
      </c>
      <c r="D258" t="s">
        <v>647</v>
      </c>
      <c r="E258" t="s">
        <v>44</v>
      </c>
      <c r="F258">
        <f t="shared" ref="F258:F321" si="17">IF(G258="", AVERAGE($G$2:$G$501),G258)</f>
        <v>54</v>
      </c>
      <c r="G258">
        <v>54</v>
      </c>
      <c r="H258" t="str">
        <f t="shared" ref="H258:H321" si="18">IF(I258="","Unknown",I258)</f>
        <v>Female</v>
      </c>
      <c r="I258" t="s">
        <v>22</v>
      </c>
      <c r="J258">
        <f t="shared" ref="J258:J321" si="19">IF(K258="",AVERAGE($K$2:$K$501),K258)</f>
        <v>394037</v>
      </c>
      <c r="K258">
        <v>394037</v>
      </c>
      <c r="L258">
        <f t="shared" ref="L258:L321" si="20">IF(M258="",AVERAGEIF($F$2:$F$501,F258,$M$2:$M$501),M258)</f>
        <v>3311</v>
      </c>
      <c r="M258">
        <v>3311</v>
      </c>
      <c r="N258">
        <v>135619</v>
      </c>
      <c r="O258" t="s">
        <v>23</v>
      </c>
      <c r="P258" t="s">
        <v>24</v>
      </c>
    </row>
    <row r="259" spans="1:16" x14ac:dyDescent="0.3">
      <c r="A259" t="s">
        <v>648</v>
      </c>
      <c r="B259" t="str">
        <f>CONCATENATE(Table1[[#This Row],[First Name]]," ",Table1[[#This Row],[Last Name]])</f>
        <v>Lindsay Ramirez</v>
      </c>
      <c r="C259" t="s">
        <v>649</v>
      </c>
      <c r="D259" t="s">
        <v>105</v>
      </c>
      <c r="E259" t="s">
        <v>58</v>
      </c>
      <c r="F259">
        <f t="shared" si="17"/>
        <v>21</v>
      </c>
      <c r="G259">
        <v>21</v>
      </c>
      <c r="H259" t="str">
        <f t="shared" si="18"/>
        <v>Male</v>
      </c>
      <c r="I259" t="s">
        <v>59</v>
      </c>
      <c r="J259">
        <f t="shared" si="19"/>
        <v>408755</v>
      </c>
      <c r="K259">
        <v>408755</v>
      </c>
      <c r="L259">
        <f t="shared" si="20"/>
        <v>188114</v>
      </c>
      <c r="M259">
        <v>188114</v>
      </c>
      <c r="N259">
        <v>137618</v>
      </c>
      <c r="O259" t="s">
        <v>23</v>
      </c>
      <c r="P259" t="s">
        <v>24</v>
      </c>
    </row>
    <row r="260" spans="1:16" x14ac:dyDescent="0.3">
      <c r="A260" t="s">
        <v>650</v>
      </c>
      <c r="B260" t="str">
        <f>CONCATENATE(Table1[[#This Row],[First Name]]," ",Table1[[#This Row],[Last Name]])</f>
        <v>Teresa Taylor</v>
      </c>
      <c r="C260" t="s">
        <v>651</v>
      </c>
      <c r="D260" t="s">
        <v>469</v>
      </c>
      <c r="E260" t="s">
        <v>14</v>
      </c>
      <c r="F260">
        <f t="shared" si="17"/>
        <v>31</v>
      </c>
      <c r="G260">
        <v>31</v>
      </c>
      <c r="H260" t="str">
        <f t="shared" si="18"/>
        <v>Male</v>
      </c>
      <c r="I260" t="s">
        <v>59</v>
      </c>
      <c r="J260">
        <f t="shared" si="19"/>
        <v>108050</v>
      </c>
      <c r="K260">
        <v>108050</v>
      </c>
      <c r="L260" s="2">
        <f t="shared" si="20"/>
        <v>184413.71428571429</v>
      </c>
      <c r="N260">
        <v>93221</v>
      </c>
      <c r="O260" t="s">
        <v>16</v>
      </c>
      <c r="P260" t="s">
        <v>24</v>
      </c>
    </row>
    <row r="261" spans="1:16" x14ac:dyDescent="0.3">
      <c r="A261" t="s">
        <v>652</v>
      </c>
      <c r="B261" t="str">
        <f>CONCATENATE(Table1[[#This Row],[First Name]]," ",Table1[[#This Row],[Last Name]])</f>
        <v>William Ortega</v>
      </c>
      <c r="C261" t="s">
        <v>135</v>
      </c>
      <c r="D261" t="s">
        <v>653</v>
      </c>
      <c r="E261" t="s">
        <v>58</v>
      </c>
      <c r="F261">
        <f t="shared" si="17"/>
        <v>39</v>
      </c>
      <c r="G261">
        <v>39</v>
      </c>
      <c r="H261" t="str">
        <f t="shared" si="18"/>
        <v>Female</v>
      </c>
      <c r="I261" t="s">
        <v>22</v>
      </c>
      <c r="J261">
        <f t="shared" si="19"/>
        <v>100244</v>
      </c>
      <c r="K261">
        <v>100244</v>
      </c>
      <c r="L261" s="2">
        <f t="shared" si="20"/>
        <v>145189.71428571429</v>
      </c>
      <c r="N261">
        <v>134279</v>
      </c>
      <c r="O261" t="s">
        <v>23</v>
      </c>
      <c r="P261" t="s">
        <v>17</v>
      </c>
    </row>
    <row r="262" spans="1:16" x14ac:dyDescent="0.3">
      <c r="A262" t="s">
        <v>654</v>
      </c>
      <c r="B262" t="str">
        <f>CONCATENATE(Table1[[#This Row],[First Name]]," ",Table1[[#This Row],[Last Name]])</f>
        <v>Bobby Turner</v>
      </c>
      <c r="C262" t="s">
        <v>655</v>
      </c>
      <c r="D262" t="s">
        <v>210</v>
      </c>
      <c r="E262" t="s">
        <v>14</v>
      </c>
      <c r="F262">
        <f t="shared" si="17"/>
        <v>29</v>
      </c>
      <c r="G262">
        <v>29</v>
      </c>
      <c r="H262" t="str">
        <f t="shared" si="18"/>
        <v>Male</v>
      </c>
      <c r="I262" t="s">
        <v>59</v>
      </c>
      <c r="J262">
        <f t="shared" si="19"/>
        <v>61657</v>
      </c>
      <c r="K262">
        <v>61657</v>
      </c>
      <c r="L262">
        <f t="shared" si="20"/>
        <v>221835</v>
      </c>
      <c r="M262">
        <v>221835</v>
      </c>
      <c r="N262">
        <v>117826</v>
      </c>
      <c r="O262" t="s">
        <v>23</v>
      </c>
      <c r="P262" t="s">
        <v>17</v>
      </c>
    </row>
    <row r="263" spans="1:16" x14ac:dyDescent="0.3">
      <c r="A263" t="s">
        <v>656</v>
      </c>
      <c r="B263" t="str">
        <f>CONCATENATE(Table1[[#This Row],[First Name]]," ",Table1[[#This Row],[Last Name]])</f>
        <v>Kristin Martinez</v>
      </c>
      <c r="C263" t="s">
        <v>289</v>
      </c>
      <c r="D263" t="s">
        <v>447</v>
      </c>
      <c r="E263" t="s">
        <v>44</v>
      </c>
      <c r="F263">
        <f t="shared" si="17"/>
        <v>57</v>
      </c>
      <c r="G263">
        <v>57</v>
      </c>
      <c r="H263" t="str">
        <f t="shared" si="18"/>
        <v>Male</v>
      </c>
      <c r="I263" t="s">
        <v>59</v>
      </c>
      <c r="J263">
        <f t="shared" si="19"/>
        <v>409796</v>
      </c>
      <c r="K263">
        <v>409796</v>
      </c>
      <c r="L263">
        <f t="shared" si="20"/>
        <v>183156</v>
      </c>
      <c r="M263">
        <v>183156</v>
      </c>
      <c r="N263">
        <v>139715</v>
      </c>
      <c r="O263" t="s">
        <v>16</v>
      </c>
      <c r="P263" t="s">
        <v>17</v>
      </c>
    </row>
    <row r="264" spans="1:16" x14ac:dyDescent="0.3">
      <c r="A264" t="s">
        <v>657</v>
      </c>
      <c r="B264" t="str">
        <f>CONCATENATE(Table1[[#This Row],[First Name]]," ",Table1[[#This Row],[Last Name]])</f>
        <v>Lauren Hood</v>
      </c>
      <c r="C264" t="s">
        <v>658</v>
      </c>
      <c r="D264" t="s">
        <v>659</v>
      </c>
      <c r="E264" t="s">
        <v>48</v>
      </c>
      <c r="F264">
        <f t="shared" si="17"/>
        <v>54</v>
      </c>
      <c r="G264">
        <v>54</v>
      </c>
      <c r="H264" t="str">
        <f t="shared" si="18"/>
        <v>Male</v>
      </c>
      <c r="I264" t="s">
        <v>59</v>
      </c>
      <c r="J264">
        <f t="shared" si="19"/>
        <v>301288</v>
      </c>
      <c r="K264">
        <v>301288</v>
      </c>
      <c r="L264">
        <f t="shared" si="20"/>
        <v>246304</v>
      </c>
      <c r="M264">
        <v>246304</v>
      </c>
      <c r="N264">
        <v>87492</v>
      </c>
      <c r="O264" t="s">
        <v>16</v>
      </c>
      <c r="P264" t="s">
        <v>17</v>
      </c>
    </row>
    <row r="265" spans="1:16" x14ac:dyDescent="0.3">
      <c r="A265" t="s">
        <v>660</v>
      </c>
      <c r="B265" t="str">
        <f>CONCATENATE(Table1[[#This Row],[First Name]]," ",Table1[[#This Row],[Last Name]])</f>
        <v>Cheryl Odonnell</v>
      </c>
      <c r="C265" t="s">
        <v>601</v>
      </c>
      <c r="D265" t="s">
        <v>661</v>
      </c>
      <c r="E265" t="s">
        <v>44</v>
      </c>
      <c r="F265">
        <f t="shared" si="17"/>
        <v>45</v>
      </c>
      <c r="G265">
        <v>45</v>
      </c>
      <c r="H265" t="str">
        <f t="shared" si="18"/>
        <v>Male</v>
      </c>
      <c r="I265" t="s">
        <v>59</v>
      </c>
      <c r="J265">
        <f t="shared" si="19"/>
        <v>415236</v>
      </c>
      <c r="K265">
        <v>415236</v>
      </c>
      <c r="L265">
        <f t="shared" si="20"/>
        <v>217909</v>
      </c>
      <c r="M265">
        <v>217909</v>
      </c>
      <c r="N265">
        <v>58843</v>
      </c>
      <c r="O265" t="s">
        <v>16</v>
      </c>
      <c r="P265" t="s">
        <v>17</v>
      </c>
    </row>
    <row r="266" spans="1:16" x14ac:dyDescent="0.3">
      <c r="A266" t="s">
        <v>662</v>
      </c>
      <c r="B266" t="str">
        <f>CONCATENATE(Table1[[#This Row],[First Name]]," ",Table1[[#This Row],[Last Name]])</f>
        <v>Susan Fuller</v>
      </c>
      <c r="C266" t="s">
        <v>317</v>
      </c>
      <c r="D266" t="s">
        <v>663</v>
      </c>
      <c r="E266" t="s">
        <v>21</v>
      </c>
      <c r="F266">
        <f t="shared" si="17"/>
        <v>28</v>
      </c>
      <c r="G266">
        <v>28</v>
      </c>
      <c r="H266" t="str">
        <f t="shared" si="18"/>
        <v>Male</v>
      </c>
      <c r="I266" t="s">
        <v>59</v>
      </c>
      <c r="J266">
        <f t="shared" si="19"/>
        <v>145056</v>
      </c>
      <c r="K266">
        <v>145056</v>
      </c>
      <c r="L266">
        <f t="shared" si="20"/>
        <v>138211</v>
      </c>
      <c r="M266">
        <v>138211</v>
      </c>
      <c r="N266">
        <v>105442</v>
      </c>
      <c r="O266" t="s">
        <v>16</v>
      </c>
      <c r="P266" t="s">
        <v>24</v>
      </c>
    </row>
    <row r="267" spans="1:16" x14ac:dyDescent="0.3">
      <c r="A267" t="s">
        <v>664</v>
      </c>
      <c r="B267" t="str">
        <f>CONCATENATE(Table1[[#This Row],[First Name]]," ",Table1[[#This Row],[Last Name]])</f>
        <v>Robert Robinson</v>
      </c>
      <c r="C267" t="s">
        <v>267</v>
      </c>
      <c r="D267" t="s">
        <v>665</v>
      </c>
      <c r="E267" t="s">
        <v>58</v>
      </c>
      <c r="F267">
        <f t="shared" si="17"/>
        <v>38</v>
      </c>
      <c r="G267">
        <v>38</v>
      </c>
      <c r="H267" t="str">
        <f t="shared" si="18"/>
        <v>Male</v>
      </c>
      <c r="I267" t="s">
        <v>59</v>
      </c>
      <c r="J267">
        <f t="shared" si="19"/>
        <v>138652</v>
      </c>
      <c r="K267">
        <v>138652</v>
      </c>
      <c r="L267">
        <f t="shared" si="20"/>
        <v>40718</v>
      </c>
      <c r="M267">
        <v>40718</v>
      </c>
      <c r="N267">
        <v>148569</v>
      </c>
      <c r="O267" t="s">
        <v>23</v>
      </c>
      <c r="P267" t="s">
        <v>17</v>
      </c>
    </row>
    <row r="268" spans="1:16" x14ac:dyDescent="0.3">
      <c r="A268" t="s">
        <v>666</v>
      </c>
      <c r="B268" t="str">
        <f>CONCATENATE(Table1[[#This Row],[First Name]]," ",Table1[[#This Row],[Last Name]])</f>
        <v>Connor Lucas</v>
      </c>
      <c r="C268" t="s">
        <v>645</v>
      </c>
      <c r="D268" t="s">
        <v>667</v>
      </c>
      <c r="E268" t="s">
        <v>14</v>
      </c>
      <c r="F268">
        <f t="shared" si="17"/>
        <v>59</v>
      </c>
      <c r="G268">
        <v>59</v>
      </c>
      <c r="H268" t="str">
        <f t="shared" si="18"/>
        <v>Female</v>
      </c>
      <c r="I268" t="s">
        <v>22</v>
      </c>
      <c r="J268">
        <f t="shared" si="19"/>
        <v>317699</v>
      </c>
      <c r="K268">
        <v>317699</v>
      </c>
      <c r="L268">
        <f t="shared" si="20"/>
        <v>142775</v>
      </c>
      <c r="M268">
        <v>142775</v>
      </c>
      <c r="N268">
        <v>14876</v>
      </c>
      <c r="O268" t="s">
        <v>33</v>
      </c>
      <c r="P268" t="s">
        <v>24</v>
      </c>
    </row>
    <row r="269" spans="1:16" x14ac:dyDescent="0.3">
      <c r="A269" t="s">
        <v>668</v>
      </c>
      <c r="B269" t="str">
        <f>CONCATENATE(Table1[[#This Row],[First Name]]," ",Table1[[#This Row],[Last Name]])</f>
        <v>Brian Ryan</v>
      </c>
      <c r="C269" t="s">
        <v>669</v>
      </c>
      <c r="D269" t="s">
        <v>35</v>
      </c>
      <c r="E269" t="s">
        <v>14</v>
      </c>
      <c r="F269">
        <f t="shared" si="17"/>
        <v>50</v>
      </c>
      <c r="G269">
        <v>50</v>
      </c>
      <c r="H269" t="str">
        <f t="shared" si="18"/>
        <v>Unknown</v>
      </c>
      <c r="J269">
        <f t="shared" si="19"/>
        <v>439957</v>
      </c>
      <c r="K269">
        <v>439957</v>
      </c>
      <c r="L269">
        <f t="shared" si="20"/>
        <v>142534</v>
      </c>
      <c r="M269">
        <v>142534</v>
      </c>
      <c r="N269">
        <v>97398</v>
      </c>
      <c r="O269" t="s">
        <v>33</v>
      </c>
      <c r="P269" t="s">
        <v>24</v>
      </c>
    </row>
    <row r="270" spans="1:16" x14ac:dyDescent="0.3">
      <c r="A270" t="s">
        <v>670</v>
      </c>
      <c r="B270" t="str">
        <f>CONCATENATE(Table1[[#This Row],[First Name]]," ",Table1[[#This Row],[Last Name]])</f>
        <v>Jeff Davis</v>
      </c>
      <c r="C270" t="s">
        <v>504</v>
      </c>
      <c r="D270" t="s">
        <v>585</v>
      </c>
      <c r="E270" t="s">
        <v>14</v>
      </c>
      <c r="F270">
        <f t="shared" si="17"/>
        <v>37</v>
      </c>
      <c r="G270">
        <v>37</v>
      </c>
      <c r="H270" t="str">
        <f t="shared" si="18"/>
        <v>Female</v>
      </c>
      <c r="I270" t="s">
        <v>22</v>
      </c>
      <c r="J270">
        <f t="shared" si="19"/>
        <v>413130</v>
      </c>
      <c r="K270">
        <v>413130</v>
      </c>
      <c r="L270">
        <f t="shared" si="20"/>
        <v>264306</v>
      </c>
      <c r="M270">
        <v>264306</v>
      </c>
      <c r="N270">
        <v>39586</v>
      </c>
      <c r="O270" t="s">
        <v>23</v>
      </c>
      <c r="P270" t="s">
        <v>17</v>
      </c>
    </row>
    <row r="271" spans="1:16" x14ac:dyDescent="0.3">
      <c r="A271" t="s">
        <v>671</v>
      </c>
      <c r="B271" t="str">
        <f>CONCATENATE(Table1[[#This Row],[First Name]]," ",Table1[[#This Row],[Last Name]])</f>
        <v>Melissa Arellano</v>
      </c>
      <c r="C271" t="s">
        <v>194</v>
      </c>
      <c r="D271" t="s">
        <v>672</v>
      </c>
      <c r="E271" t="s">
        <v>44</v>
      </c>
      <c r="F271" s="2">
        <f t="shared" si="17"/>
        <v>39.868583162217661</v>
      </c>
      <c r="H271" t="str">
        <f t="shared" si="18"/>
        <v>Female</v>
      </c>
      <c r="I271" t="s">
        <v>22</v>
      </c>
      <c r="J271">
        <f t="shared" si="19"/>
        <v>351783</v>
      </c>
      <c r="K271">
        <v>351783</v>
      </c>
      <c r="L271">
        <f t="shared" si="20"/>
        <v>9680</v>
      </c>
      <c r="M271">
        <v>9680</v>
      </c>
      <c r="N271">
        <v>140390</v>
      </c>
      <c r="O271" t="s">
        <v>23</v>
      </c>
      <c r="P271" t="s">
        <v>24</v>
      </c>
    </row>
    <row r="272" spans="1:16" x14ac:dyDescent="0.3">
      <c r="A272" t="s">
        <v>673</v>
      </c>
      <c r="B272" t="str">
        <f>CONCATENATE(Table1[[#This Row],[First Name]]," ",Table1[[#This Row],[Last Name]])</f>
        <v>Amber Harris</v>
      </c>
      <c r="C272" t="s">
        <v>674</v>
      </c>
      <c r="D272" t="s">
        <v>256</v>
      </c>
      <c r="E272" t="s">
        <v>21</v>
      </c>
      <c r="F272">
        <f t="shared" si="17"/>
        <v>43</v>
      </c>
      <c r="G272">
        <v>43</v>
      </c>
      <c r="H272" t="str">
        <f t="shared" si="18"/>
        <v>Male</v>
      </c>
      <c r="I272" t="s">
        <v>59</v>
      </c>
      <c r="J272">
        <f t="shared" si="19"/>
        <v>102373</v>
      </c>
      <c r="K272">
        <v>102373</v>
      </c>
      <c r="L272" s="2">
        <f t="shared" si="20"/>
        <v>154006.86666666667</v>
      </c>
      <c r="N272">
        <v>149188</v>
      </c>
      <c r="O272" t="s">
        <v>23</v>
      </c>
      <c r="P272" t="s">
        <v>24</v>
      </c>
    </row>
    <row r="273" spans="1:16" x14ac:dyDescent="0.3">
      <c r="A273" t="s">
        <v>675</v>
      </c>
      <c r="B273" t="str">
        <f>CONCATENATE(Table1[[#This Row],[First Name]]," ",Table1[[#This Row],[Last Name]])</f>
        <v>Kimberly Johnson</v>
      </c>
      <c r="C273" t="s">
        <v>599</v>
      </c>
      <c r="D273" t="s">
        <v>174</v>
      </c>
      <c r="E273" t="s">
        <v>21</v>
      </c>
      <c r="F273">
        <f t="shared" si="17"/>
        <v>23</v>
      </c>
      <c r="G273">
        <v>23</v>
      </c>
      <c r="H273" t="str">
        <f t="shared" si="18"/>
        <v>Unknown</v>
      </c>
      <c r="J273">
        <f t="shared" si="19"/>
        <v>287024</v>
      </c>
      <c r="K273">
        <v>287024</v>
      </c>
      <c r="L273">
        <f t="shared" si="20"/>
        <v>126404</v>
      </c>
      <c r="M273">
        <v>126404</v>
      </c>
      <c r="N273">
        <v>89780</v>
      </c>
      <c r="O273" t="s">
        <v>16</v>
      </c>
      <c r="P273" t="s">
        <v>17</v>
      </c>
    </row>
    <row r="274" spans="1:16" x14ac:dyDescent="0.3">
      <c r="A274" t="s">
        <v>676</v>
      </c>
      <c r="B274" t="str">
        <f>CONCATENATE(Table1[[#This Row],[First Name]]," ",Table1[[#This Row],[Last Name]])</f>
        <v>Michelle Wells</v>
      </c>
      <c r="C274" t="s">
        <v>498</v>
      </c>
      <c r="D274" t="s">
        <v>603</v>
      </c>
      <c r="E274" t="s">
        <v>44</v>
      </c>
      <c r="F274">
        <f t="shared" si="17"/>
        <v>22</v>
      </c>
      <c r="G274">
        <v>22</v>
      </c>
      <c r="H274" t="str">
        <f t="shared" si="18"/>
        <v>Male</v>
      </c>
      <c r="I274" t="s">
        <v>59</v>
      </c>
      <c r="J274">
        <f t="shared" si="19"/>
        <v>172316</v>
      </c>
      <c r="K274">
        <v>172316</v>
      </c>
      <c r="L274">
        <f t="shared" si="20"/>
        <v>44055</v>
      </c>
      <c r="M274">
        <v>44055</v>
      </c>
      <c r="N274">
        <v>42063</v>
      </c>
      <c r="O274" t="s">
        <v>16</v>
      </c>
      <c r="P274" t="s">
        <v>24</v>
      </c>
    </row>
    <row r="275" spans="1:16" x14ac:dyDescent="0.3">
      <c r="A275" t="s">
        <v>677</v>
      </c>
      <c r="B275" t="str">
        <f>CONCATENATE(Table1[[#This Row],[First Name]]," ",Table1[[#This Row],[Last Name]])</f>
        <v>Richard Miller</v>
      </c>
      <c r="C275" t="s">
        <v>126</v>
      </c>
      <c r="D275" t="s">
        <v>213</v>
      </c>
      <c r="E275" t="s">
        <v>48</v>
      </c>
      <c r="F275">
        <f t="shared" si="17"/>
        <v>56</v>
      </c>
      <c r="G275">
        <v>56</v>
      </c>
      <c r="H275" t="str">
        <f t="shared" si="18"/>
        <v>Female</v>
      </c>
      <c r="I275" t="s">
        <v>22</v>
      </c>
      <c r="J275">
        <f t="shared" si="19"/>
        <v>438601</v>
      </c>
      <c r="K275">
        <v>438601</v>
      </c>
      <c r="L275">
        <f t="shared" si="20"/>
        <v>150939</v>
      </c>
      <c r="M275">
        <v>150939</v>
      </c>
      <c r="N275">
        <v>21949</v>
      </c>
      <c r="O275" t="s">
        <v>16</v>
      </c>
      <c r="P275" t="s">
        <v>17</v>
      </c>
    </row>
    <row r="276" spans="1:16" x14ac:dyDescent="0.3">
      <c r="A276" t="s">
        <v>678</v>
      </c>
      <c r="B276" t="str">
        <f>CONCATENATE(Table1[[#This Row],[First Name]]," ",Table1[[#This Row],[Last Name]])</f>
        <v>Brandy Bradley</v>
      </c>
      <c r="C276" t="s">
        <v>679</v>
      </c>
      <c r="D276" t="s">
        <v>430</v>
      </c>
      <c r="E276" t="s">
        <v>14</v>
      </c>
      <c r="F276">
        <f t="shared" si="17"/>
        <v>55</v>
      </c>
      <c r="G276">
        <v>55</v>
      </c>
      <c r="H276" t="str">
        <f t="shared" si="18"/>
        <v>Male</v>
      </c>
      <c r="I276" t="s">
        <v>59</v>
      </c>
      <c r="J276">
        <f t="shared" si="19"/>
        <v>324788</v>
      </c>
      <c r="K276">
        <v>324788</v>
      </c>
      <c r="L276" s="2">
        <f t="shared" si="20"/>
        <v>147091.55555555556</v>
      </c>
      <c r="N276">
        <v>93677</v>
      </c>
      <c r="O276" t="s">
        <v>23</v>
      </c>
      <c r="P276" t="s">
        <v>17</v>
      </c>
    </row>
    <row r="277" spans="1:16" x14ac:dyDescent="0.3">
      <c r="A277" t="s">
        <v>680</v>
      </c>
      <c r="B277" t="str">
        <f>CONCATENATE(Table1[[#This Row],[First Name]]," ",Table1[[#This Row],[Last Name]])</f>
        <v>Isabella Marks</v>
      </c>
      <c r="C277" t="s">
        <v>681</v>
      </c>
      <c r="D277" t="s">
        <v>682</v>
      </c>
      <c r="E277" t="s">
        <v>58</v>
      </c>
      <c r="F277">
        <f t="shared" si="17"/>
        <v>29</v>
      </c>
      <c r="G277">
        <v>29</v>
      </c>
      <c r="H277" t="str">
        <f t="shared" si="18"/>
        <v>Female</v>
      </c>
      <c r="I277" t="s">
        <v>22</v>
      </c>
      <c r="J277">
        <f t="shared" si="19"/>
        <v>175719</v>
      </c>
      <c r="K277">
        <v>175719</v>
      </c>
      <c r="L277" s="2">
        <f t="shared" si="20"/>
        <v>221918.58333333334</v>
      </c>
      <c r="N277">
        <v>60758</v>
      </c>
      <c r="O277" t="s">
        <v>23</v>
      </c>
      <c r="P277" t="s">
        <v>24</v>
      </c>
    </row>
    <row r="278" spans="1:16" x14ac:dyDescent="0.3">
      <c r="A278" t="s">
        <v>683</v>
      </c>
      <c r="B278" t="str">
        <f>CONCATENATE(Table1[[#This Row],[First Name]]," ",Table1[[#This Row],[Last Name]])</f>
        <v>Erica Peters</v>
      </c>
      <c r="C278" t="s">
        <v>684</v>
      </c>
      <c r="D278" t="s">
        <v>685</v>
      </c>
      <c r="E278" t="s">
        <v>21</v>
      </c>
      <c r="F278">
        <f t="shared" si="17"/>
        <v>36</v>
      </c>
      <c r="G278">
        <v>36</v>
      </c>
      <c r="H278" t="str">
        <f t="shared" si="18"/>
        <v>Female</v>
      </c>
      <c r="I278" t="s">
        <v>22</v>
      </c>
      <c r="J278">
        <f t="shared" si="19"/>
        <v>309930</v>
      </c>
      <c r="K278">
        <v>309930</v>
      </c>
      <c r="L278">
        <f t="shared" si="20"/>
        <v>7258</v>
      </c>
      <c r="M278">
        <v>7258</v>
      </c>
      <c r="N278">
        <v>63114</v>
      </c>
      <c r="O278" t="s">
        <v>23</v>
      </c>
      <c r="P278" t="s">
        <v>24</v>
      </c>
    </row>
    <row r="279" spans="1:16" x14ac:dyDescent="0.3">
      <c r="A279" t="s">
        <v>686</v>
      </c>
      <c r="B279" t="str">
        <f>CONCATENATE(Table1[[#This Row],[First Name]]," ",Table1[[#This Row],[Last Name]])</f>
        <v>Jill George</v>
      </c>
      <c r="C279" t="s">
        <v>687</v>
      </c>
      <c r="D279" t="s">
        <v>380</v>
      </c>
      <c r="E279" t="s">
        <v>44</v>
      </c>
      <c r="F279">
        <f t="shared" si="17"/>
        <v>25</v>
      </c>
      <c r="G279">
        <v>25</v>
      </c>
      <c r="H279" t="str">
        <f t="shared" si="18"/>
        <v>Female</v>
      </c>
      <c r="I279" t="s">
        <v>22</v>
      </c>
      <c r="J279">
        <f t="shared" si="19"/>
        <v>147276</v>
      </c>
      <c r="K279">
        <v>147276</v>
      </c>
      <c r="L279">
        <f t="shared" si="20"/>
        <v>236753</v>
      </c>
      <c r="M279">
        <v>236753</v>
      </c>
      <c r="N279">
        <v>73692</v>
      </c>
      <c r="O279" t="s">
        <v>16</v>
      </c>
      <c r="P279" t="s">
        <v>17</v>
      </c>
    </row>
    <row r="280" spans="1:16" x14ac:dyDescent="0.3">
      <c r="A280" t="s">
        <v>688</v>
      </c>
      <c r="B280" t="str">
        <f>CONCATENATE(Table1[[#This Row],[First Name]]," ",Table1[[#This Row],[Last Name]])</f>
        <v>Haley Holden</v>
      </c>
      <c r="C280" t="s">
        <v>689</v>
      </c>
      <c r="D280" t="s">
        <v>690</v>
      </c>
      <c r="E280" t="s">
        <v>58</v>
      </c>
      <c r="F280">
        <f t="shared" si="17"/>
        <v>24</v>
      </c>
      <c r="G280">
        <v>24</v>
      </c>
      <c r="H280" t="str">
        <f t="shared" si="18"/>
        <v>Female</v>
      </c>
      <c r="I280" t="s">
        <v>22</v>
      </c>
      <c r="J280">
        <f t="shared" si="19"/>
        <v>240261</v>
      </c>
      <c r="K280">
        <v>240261</v>
      </c>
      <c r="L280" s="2">
        <f t="shared" si="20"/>
        <v>138634.69230769231</v>
      </c>
      <c r="N280">
        <v>116997</v>
      </c>
      <c r="O280" t="s">
        <v>23</v>
      </c>
      <c r="P280" t="s">
        <v>24</v>
      </c>
    </row>
    <row r="281" spans="1:16" x14ac:dyDescent="0.3">
      <c r="A281" t="s">
        <v>691</v>
      </c>
      <c r="B281" t="str">
        <f>CONCATENATE(Table1[[#This Row],[First Name]]," ",Table1[[#This Row],[Last Name]])</f>
        <v>Amanda Harris</v>
      </c>
      <c r="C281" t="s">
        <v>156</v>
      </c>
      <c r="D281" t="s">
        <v>256</v>
      </c>
      <c r="E281" t="s">
        <v>14</v>
      </c>
      <c r="F281">
        <f t="shared" si="17"/>
        <v>46</v>
      </c>
      <c r="G281">
        <v>46</v>
      </c>
      <c r="H281" t="str">
        <f t="shared" si="18"/>
        <v>Male</v>
      </c>
      <c r="I281" t="s">
        <v>59</v>
      </c>
      <c r="J281" s="2">
        <f t="shared" si="19"/>
        <v>252076.51219512196</v>
      </c>
      <c r="L281">
        <f t="shared" si="20"/>
        <v>120478</v>
      </c>
      <c r="M281">
        <v>120478</v>
      </c>
      <c r="N281">
        <v>69931</v>
      </c>
      <c r="O281" t="s">
        <v>23</v>
      </c>
      <c r="P281" t="s">
        <v>24</v>
      </c>
    </row>
    <row r="282" spans="1:16" x14ac:dyDescent="0.3">
      <c r="A282" t="s">
        <v>692</v>
      </c>
      <c r="B282" t="str">
        <f>CONCATENATE(Table1[[#This Row],[First Name]]," ",Table1[[#This Row],[Last Name]])</f>
        <v>Kenneth Brown</v>
      </c>
      <c r="C282" t="s">
        <v>71</v>
      </c>
      <c r="D282" t="s">
        <v>89</v>
      </c>
      <c r="E282" t="s">
        <v>14</v>
      </c>
      <c r="F282">
        <f t="shared" si="17"/>
        <v>49</v>
      </c>
      <c r="G282">
        <v>49</v>
      </c>
      <c r="H282" t="str">
        <f t="shared" si="18"/>
        <v>Female</v>
      </c>
      <c r="I282" t="s">
        <v>22</v>
      </c>
      <c r="J282">
        <f t="shared" si="19"/>
        <v>375152</v>
      </c>
      <c r="K282">
        <v>375152</v>
      </c>
      <c r="L282">
        <f t="shared" si="20"/>
        <v>52031</v>
      </c>
      <c r="M282">
        <v>52031</v>
      </c>
      <c r="N282">
        <v>37560</v>
      </c>
      <c r="O282" t="s">
        <v>23</v>
      </c>
      <c r="P282" t="s">
        <v>24</v>
      </c>
    </row>
    <row r="283" spans="1:16" x14ac:dyDescent="0.3">
      <c r="A283" t="s">
        <v>693</v>
      </c>
      <c r="B283" t="str">
        <f>CONCATENATE(Table1[[#This Row],[First Name]]," ",Table1[[#This Row],[Last Name]])</f>
        <v>Justin Hahn</v>
      </c>
      <c r="C283" t="s">
        <v>525</v>
      </c>
      <c r="D283" t="s">
        <v>550</v>
      </c>
      <c r="E283" t="s">
        <v>44</v>
      </c>
      <c r="F283">
        <f t="shared" si="17"/>
        <v>33</v>
      </c>
      <c r="G283">
        <v>33</v>
      </c>
      <c r="H283" t="str">
        <f t="shared" si="18"/>
        <v>Male</v>
      </c>
      <c r="I283" t="s">
        <v>59</v>
      </c>
      <c r="J283">
        <f t="shared" si="19"/>
        <v>151168</v>
      </c>
      <c r="K283">
        <v>151168</v>
      </c>
      <c r="L283" s="2">
        <f t="shared" si="20"/>
        <v>156800.92307692306</v>
      </c>
      <c r="N283">
        <v>44654</v>
      </c>
      <c r="O283" t="s">
        <v>33</v>
      </c>
      <c r="P283" t="s">
        <v>24</v>
      </c>
    </row>
    <row r="284" spans="1:16" x14ac:dyDescent="0.3">
      <c r="A284" t="s">
        <v>694</v>
      </c>
      <c r="B284" t="str">
        <f>CONCATENATE(Table1[[#This Row],[First Name]]," ",Table1[[#This Row],[Last Name]])</f>
        <v>Gary Johnson</v>
      </c>
      <c r="C284" t="s">
        <v>460</v>
      </c>
      <c r="D284" t="s">
        <v>174</v>
      </c>
      <c r="E284" t="s">
        <v>21</v>
      </c>
      <c r="F284">
        <f t="shared" si="17"/>
        <v>53</v>
      </c>
      <c r="G284">
        <v>53</v>
      </c>
      <c r="H284" t="str">
        <f t="shared" si="18"/>
        <v>Female</v>
      </c>
      <c r="I284" t="s">
        <v>22</v>
      </c>
      <c r="J284">
        <f t="shared" si="19"/>
        <v>217784</v>
      </c>
      <c r="K284">
        <v>217784</v>
      </c>
      <c r="L284" s="2">
        <f t="shared" si="20"/>
        <v>134964.83333333334</v>
      </c>
      <c r="N284">
        <v>42272</v>
      </c>
      <c r="O284" t="s">
        <v>16</v>
      </c>
      <c r="P284" t="s">
        <v>24</v>
      </c>
    </row>
    <row r="285" spans="1:16" x14ac:dyDescent="0.3">
      <c r="A285" t="s">
        <v>695</v>
      </c>
      <c r="B285" t="str">
        <f>CONCATENATE(Table1[[#This Row],[First Name]]," ",Table1[[#This Row],[Last Name]])</f>
        <v>Michele Allison</v>
      </c>
      <c r="C285" t="s">
        <v>696</v>
      </c>
      <c r="D285" t="s">
        <v>98</v>
      </c>
      <c r="E285" t="s">
        <v>44</v>
      </c>
      <c r="F285">
        <f t="shared" si="17"/>
        <v>56</v>
      </c>
      <c r="G285">
        <v>56</v>
      </c>
      <c r="H285" t="str">
        <f t="shared" si="18"/>
        <v>Male</v>
      </c>
      <c r="I285" t="s">
        <v>59</v>
      </c>
      <c r="J285" s="2">
        <f t="shared" si="19"/>
        <v>252076.51219512196</v>
      </c>
      <c r="L285">
        <f t="shared" si="20"/>
        <v>75127</v>
      </c>
      <c r="M285">
        <v>75127</v>
      </c>
      <c r="N285">
        <v>22604</v>
      </c>
      <c r="O285" t="s">
        <v>16</v>
      </c>
      <c r="P285" t="s">
        <v>24</v>
      </c>
    </row>
    <row r="286" spans="1:16" x14ac:dyDescent="0.3">
      <c r="A286" t="s">
        <v>697</v>
      </c>
      <c r="B286" t="str">
        <f>CONCATENATE(Table1[[#This Row],[First Name]]," ",Table1[[#This Row],[Last Name]])</f>
        <v>Ryan Gordon</v>
      </c>
      <c r="C286" t="s">
        <v>35</v>
      </c>
      <c r="D286" t="s">
        <v>698</v>
      </c>
      <c r="E286" t="s">
        <v>21</v>
      </c>
      <c r="F286">
        <f t="shared" si="17"/>
        <v>57</v>
      </c>
      <c r="G286">
        <v>57</v>
      </c>
      <c r="H286" t="str">
        <f t="shared" si="18"/>
        <v>Male</v>
      </c>
      <c r="I286" t="s">
        <v>59</v>
      </c>
      <c r="J286">
        <f t="shared" si="19"/>
        <v>185466</v>
      </c>
      <c r="K286">
        <v>185466</v>
      </c>
      <c r="L286" s="2">
        <f t="shared" si="20"/>
        <v>152416.23076923078</v>
      </c>
      <c r="N286">
        <v>11672</v>
      </c>
      <c r="O286" t="s">
        <v>23</v>
      </c>
      <c r="P286" t="s">
        <v>17</v>
      </c>
    </row>
    <row r="287" spans="1:16" x14ac:dyDescent="0.3">
      <c r="A287" t="s">
        <v>699</v>
      </c>
      <c r="B287" t="str">
        <f>CONCATENATE(Table1[[#This Row],[First Name]]," ",Table1[[#This Row],[Last Name]])</f>
        <v>Tony Stone</v>
      </c>
      <c r="C287" t="s">
        <v>564</v>
      </c>
      <c r="D287" t="s">
        <v>700</v>
      </c>
      <c r="E287" t="s">
        <v>14</v>
      </c>
      <c r="F287">
        <f t="shared" si="17"/>
        <v>57</v>
      </c>
      <c r="G287">
        <v>57</v>
      </c>
      <c r="H287" t="str">
        <f t="shared" si="18"/>
        <v>Male</v>
      </c>
      <c r="I287" t="s">
        <v>59</v>
      </c>
      <c r="J287">
        <f t="shared" si="19"/>
        <v>248370</v>
      </c>
      <c r="K287">
        <v>248370</v>
      </c>
      <c r="L287" s="2">
        <f t="shared" si="20"/>
        <v>152416.23076923078</v>
      </c>
      <c r="N287">
        <v>85731</v>
      </c>
      <c r="O287" t="s">
        <v>16</v>
      </c>
      <c r="P287" t="s">
        <v>24</v>
      </c>
    </row>
    <row r="288" spans="1:16" x14ac:dyDescent="0.3">
      <c r="A288" t="s">
        <v>701</v>
      </c>
      <c r="B288" t="str">
        <f>CONCATENATE(Table1[[#This Row],[First Name]]," ",Table1[[#This Row],[Last Name]])</f>
        <v>Steven Clark</v>
      </c>
      <c r="C288" t="s">
        <v>224</v>
      </c>
      <c r="D288" t="s">
        <v>315</v>
      </c>
      <c r="E288" t="s">
        <v>21</v>
      </c>
      <c r="F288">
        <f t="shared" si="17"/>
        <v>28</v>
      </c>
      <c r="G288">
        <v>28</v>
      </c>
      <c r="H288" t="str">
        <f t="shared" si="18"/>
        <v>Female</v>
      </c>
      <c r="I288" t="s">
        <v>22</v>
      </c>
      <c r="J288" s="2">
        <f t="shared" si="19"/>
        <v>252076.51219512196</v>
      </c>
      <c r="L288">
        <f t="shared" si="20"/>
        <v>13072</v>
      </c>
      <c r="M288">
        <v>13072</v>
      </c>
      <c r="N288">
        <v>85152</v>
      </c>
      <c r="O288" t="s">
        <v>33</v>
      </c>
      <c r="P288" t="s">
        <v>17</v>
      </c>
    </row>
    <row r="289" spans="1:16" x14ac:dyDescent="0.3">
      <c r="A289" t="s">
        <v>702</v>
      </c>
      <c r="B289" t="str">
        <f>CONCATENATE(Table1[[#This Row],[First Name]]," ",Table1[[#This Row],[Last Name]])</f>
        <v>Amber Stevens</v>
      </c>
      <c r="C289" t="s">
        <v>674</v>
      </c>
      <c r="D289" t="s">
        <v>703</v>
      </c>
      <c r="E289" t="s">
        <v>58</v>
      </c>
      <c r="F289">
        <f t="shared" si="17"/>
        <v>24</v>
      </c>
      <c r="G289">
        <v>24</v>
      </c>
      <c r="H289" t="str">
        <f t="shared" si="18"/>
        <v>Female</v>
      </c>
      <c r="I289" t="s">
        <v>22</v>
      </c>
      <c r="J289">
        <f t="shared" si="19"/>
        <v>312844</v>
      </c>
      <c r="K289">
        <v>312844</v>
      </c>
      <c r="L289">
        <f t="shared" si="20"/>
        <v>199971</v>
      </c>
      <c r="M289">
        <v>199971</v>
      </c>
      <c r="N289">
        <v>118458</v>
      </c>
      <c r="O289" t="s">
        <v>33</v>
      </c>
      <c r="P289" t="s">
        <v>17</v>
      </c>
    </row>
    <row r="290" spans="1:16" x14ac:dyDescent="0.3">
      <c r="A290" t="s">
        <v>704</v>
      </c>
      <c r="B290" t="str">
        <f>CONCATENATE(Table1[[#This Row],[First Name]]," ",Table1[[#This Row],[Last Name]])</f>
        <v>James Holmes</v>
      </c>
      <c r="C290" t="s">
        <v>232</v>
      </c>
      <c r="D290" t="s">
        <v>705</v>
      </c>
      <c r="E290" t="s">
        <v>48</v>
      </c>
      <c r="F290">
        <f t="shared" si="17"/>
        <v>49</v>
      </c>
      <c r="G290">
        <v>49</v>
      </c>
      <c r="H290" t="str">
        <f t="shared" si="18"/>
        <v>Male</v>
      </c>
      <c r="I290" t="s">
        <v>59</v>
      </c>
      <c r="J290">
        <f t="shared" si="19"/>
        <v>376953</v>
      </c>
      <c r="K290">
        <v>376953</v>
      </c>
      <c r="L290">
        <f t="shared" si="20"/>
        <v>94341</v>
      </c>
      <c r="M290">
        <v>94341</v>
      </c>
      <c r="N290">
        <v>17170</v>
      </c>
      <c r="O290" t="s">
        <v>16</v>
      </c>
      <c r="P290" t="s">
        <v>24</v>
      </c>
    </row>
    <row r="291" spans="1:16" x14ac:dyDescent="0.3">
      <c r="A291" t="s">
        <v>706</v>
      </c>
      <c r="B291" t="str">
        <f>CONCATENATE(Table1[[#This Row],[First Name]]," ",Table1[[#This Row],[Last Name]])</f>
        <v>Jodi Owens</v>
      </c>
      <c r="C291" t="s">
        <v>707</v>
      </c>
      <c r="D291" t="s">
        <v>287</v>
      </c>
      <c r="E291" t="s">
        <v>48</v>
      </c>
      <c r="F291">
        <f t="shared" si="17"/>
        <v>47</v>
      </c>
      <c r="G291">
        <v>47</v>
      </c>
      <c r="H291" t="str">
        <f t="shared" si="18"/>
        <v>Female</v>
      </c>
      <c r="I291" t="s">
        <v>22</v>
      </c>
      <c r="J291">
        <f t="shared" si="19"/>
        <v>453324</v>
      </c>
      <c r="K291">
        <v>453324</v>
      </c>
      <c r="L291">
        <f t="shared" si="20"/>
        <v>230328</v>
      </c>
      <c r="M291">
        <v>230328</v>
      </c>
      <c r="N291">
        <v>142772</v>
      </c>
      <c r="O291" t="s">
        <v>23</v>
      </c>
      <c r="P291" t="s">
        <v>24</v>
      </c>
    </row>
    <row r="292" spans="1:16" x14ac:dyDescent="0.3">
      <c r="A292" t="s">
        <v>708</v>
      </c>
      <c r="B292" t="str">
        <f>CONCATENATE(Table1[[#This Row],[First Name]]," ",Table1[[#This Row],[Last Name]])</f>
        <v>Jessica Kirk</v>
      </c>
      <c r="C292" t="s">
        <v>369</v>
      </c>
      <c r="D292" t="s">
        <v>709</v>
      </c>
      <c r="E292" t="s">
        <v>44</v>
      </c>
      <c r="F292">
        <f t="shared" si="17"/>
        <v>56</v>
      </c>
      <c r="G292">
        <v>56</v>
      </c>
      <c r="H292" t="str">
        <f t="shared" si="18"/>
        <v>Female</v>
      </c>
      <c r="I292" t="s">
        <v>22</v>
      </c>
      <c r="J292">
        <f t="shared" si="19"/>
        <v>305353</v>
      </c>
      <c r="K292">
        <v>305353</v>
      </c>
      <c r="L292">
        <f t="shared" si="20"/>
        <v>44907</v>
      </c>
      <c r="M292">
        <v>44907</v>
      </c>
      <c r="N292">
        <v>66591</v>
      </c>
      <c r="O292" t="s">
        <v>16</v>
      </c>
      <c r="P292" t="s">
        <v>17</v>
      </c>
    </row>
    <row r="293" spans="1:16" x14ac:dyDescent="0.3">
      <c r="A293" t="s">
        <v>710</v>
      </c>
      <c r="B293" t="str">
        <f>CONCATENATE(Table1[[#This Row],[First Name]]," ",Table1[[#This Row],[Last Name]])</f>
        <v>Jessica Thompson</v>
      </c>
      <c r="C293" t="s">
        <v>369</v>
      </c>
      <c r="D293" t="s">
        <v>148</v>
      </c>
      <c r="E293" t="s">
        <v>48</v>
      </c>
      <c r="F293">
        <f t="shared" si="17"/>
        <v>25</v>
      </c>
      <c r="G293">
        <v>25</v>
      </c>
      <c r="H293" t="str">
        <f t="shared" si="18"/>
        <v>Unknown</v>
      </c>
      <c r="J293">
        <f t="shared" si="19"/>
        <v>36302</v>
      </c>
      <c r="K293">
        <v>36302</v>
      </c>
      <c r="L293">
        <f t="shared" si="20"/>
        <v>118953</v>
      </c>
      <c r="M293">
        <v>118953</v>
      </c>
      <c r="N293">
        <v>23718</v>
      </c>
      <c r="O293" t="s">
        <v>23</v>
      </c>
      <c r="P293" t="s">
        <v>17</v>
      </c>
    </row>
    <row r="294" spans="1:16" x14ac:dyDescent="0.3">
      <c r="A294" t="s">
        <v>711</v>
      </c>
      <c r="B294" t="str">
        <f>CONCATENATE(Table1[[#This Row],[First Name]]," ",Table1[[#This Row],[Last Name]])</f>
        <v>Ashley Weaver</v>
      </c>
      <c r="C294" t="s">
        <v>260</v>
      </c>
      <c r="D294" t="s">
        <v>365</v>
      </c>
      <c r="E294" t="s">
        <v>21</v>
      </c>
      <c r="F294">
        <f t="shared" si="17"/>
        <v>25</v>
      </c>
      <c r="G294">
        <v>25</v>
      </c>
      <c r="H294" t="str">
        <f t="shared" si="18"/>
        <v>Male</v>
      </c>
      <c r="I294" t="s">
        <v>59</v>
      </c>
      <c r="J294">
        <f t="shared" si="19"/>
        <v>490291</v>
      </c>
      <c r="K294">
        <v>490291</v>
      </c>
      <c r="L294">
        <f t="shared" si="20"/>
        <v>199503</v>
      </c>
      <c r="M294">
        <v>199503</v>
      </c>
      <c r="N294">
        <v>93843</v>
      </c>
      <c r="O294" t="s">
        <v>16</v>
      </c>
      <c r="P294" t="s">
        <v>24</v>
      </c>
    </row>
    <row r="295" spans="1:16" x14ac:dyDescent="0.3">
      <c r="A295" t="s">
        <v>712</v>
      </c>
      <c r="B295" t="str">
        <f>CONCATENATE(Table1[[#This Row],[First Name]]," ",Table1[[#This Row],[Last Name]])</f>
        <v>Timothy Baker</v>
      </c>
      <c r="C295" t="s">
        <v>713</v>
      </c>
      <c r="D295" t="s">
        <v>714</v>
      </c>
      <c r="E295" t="s">
        <v>14</v>
      </c>
      <c r="F295">
        <f t="shared" si="17"/>
        <v>21</v>
      </c>
      <c r="G295">
        <v>21</v>
      </c>
      <c r="H295" t="str">
        <f t="shared" si="18"/>
        <v>Female</v>
      </c>
      <c r="I295" t="s">
        <v>22</v>
      </c>
      <c r="J295">
        <f t="shared" si="19"/>
        <v>458301</v>
      </c>
      <c r="K295">
        <v>458301</v>
      </c>
      <c r="L295">
        <f t="shared" si="20"/>
        <v>3017</v>
      </c>
      <c r="M295">
        <v>3017</v>
      </c>
      <c r="N295">
        <v>69782</v>
      </c>
      <c r="O295" t="s">
        <v>16</v>
      </c>
      <c r="P295" t="s">
        <v>17</v>
      </c>
    </row>
    <row r="296" spans="1:16" x14ac:dyDescent="0.3">
      <c r="A296" t="s">
        <v>715</v>
      </c>
      <c r="B296" t="str">
        <f>CONCATENATE(Table1[[#This Row],[First Name]]," ",Table1[[#This Row],[Last Name]])</f>
        <v>Nancy Larsen</v>
      </c>
      <c r="C296" t="s">
        <v>449</v>
      </c>
      <c r="D296" t="s">
        <v>716</v>
      </c>
      <c r="E296" t="s">
        <v>58</v>
      </c>
      <c r="F296">
        <f t="shared" si="17"/>
        <v>31</v>
      </c>
      <c r="G296">
        <v>31</v>
      </c>
      <c r="H296" t="str">
        <f t="shared" si="18"/>
        <v>Female</v>
      </c>
      <c r="I296" t="s">
        <v>22</v>
      </c>
      <c r="J296">
        <f t="shared" si="19"/>
        <v>165946</v>
      </c>
      <c r="K296">
        <v>165946</v>
      </c>
      <c r="L296">
        <f t="shared" si="20"/>
        <v>246730</v>
      </c>
      <c r="M296">
        <v>246730</v>
      </c>
      <c r="N296">
        <v>87788</v>
      </c>
      <c r="O296" t="s">
        <v>23</v>
      </c>
      <c r="P296" t="s">
        <v>17</v>
      </c>
    </row>
    <row r="297" spans="1:16" x14ac:dyDescent="0.3">
      <c r="A297" t="s">
        <v>717</v>
      </c>
      <c r="B297" t="str">
        <f>CONCATENATE(Table1[[#This Row],[First Name]]," ",Table1[[#This Row],[Last Name]])</f>
        <v>Kevin Crosby</v>
      </c>
      <c r="C297" t="s">
        <v>46</v>
      </c>
      <c r="D297" t="s">
        <v>102</v>
      </c>
      <c r="E297" t="s">
        <v>21</v>
      </c>
      <c r="F297">
        <f t="shared" si="17"/>
        <v>31</v>
      </c>
      <c r="G297">
        <v>31</v>
      </c>
      <c r="H297" t="str">
        <f t="shared" si="18"/>
        <v>Female</v>
      </c>
      <c r="I297" t="s">
        <v>22</v>
      </c>
      <c r="J297">
        <f t="shared" si="19"/>
        <v>222749</v>
      </c>
      <c r="K297">
        <v>222749</v>
      </c>
      <c r="L297">
        <f t="shared" si="20"/>
        <v>52686</v>
      </c>
      <c r="M297">
        <v>52686</v>
      </c>
      <c r="N297">
        <v>132427</v>
      </c>
      <c r="O297" t="s">
        <v>16</v>
      </c>
      <c r="P297" t="s">
        <v>24</v>
      </c>
    </row>
    <row r="298" spans="1:16" x14ac:dyDescent="0.3">
      <c r="A298" t="s">
        <v>718</v>
      </c>
      <c r="B298" t="str">
        <f>CONCATENATE(Table1[[#This Row],[First Name]]," ",Table1[[#This Row],[Last Name]])</f>
        <v>Tommy Baker</v>
      </c>
      <c r="C298" t="s">
        <v>719</v>
      </c>
      <c r="D298" t="s">
        <v>714</v>
      </c>
      <c r="E298" t="s">
        <v>21</v>
      </c>
      <c r="F298">
        <f t="shared" si="17"/>
        <v>49</v>
      </c>
      <c r="G298">
        <v>49</v>
      </c>
      <c r="H298" t="str">
        <f t="shared" si="18"/>
        <v>Male</v>
      </c>
      <c r="I298" t="s">
        <v>59</v>
      </c>
      <c r="J298">
        <f t="shared" si="19"/>
        <v>345725</v>
      </c>
      <c r="K298">
        <v>345725</v>
      </c>
      <c r="L298">
        <f t="shared" si="20"/>
        <v>112694</v>
      </c>
      <c r="M298">
        <v>112694</v>
      </c>
      <c r="N298">
        <v>28135</v>
      </c>
      <c r="O298" t="s">
        <v>33</v>
      </c>
      <c r="P298" t="s">
        <v>24</v>
      </c>
    </row>
    <row r="299" spans="1:16" x14ac:dyDescent="0.3">
      <c r="A299" t="s">
        <v>720</v>
      </c>
      <c r="B299" t="str">
        <f>CONCATENATE(Table1[[#This Row],[First Name]]," ",Table1[[#This Row],[Last Name]])</f>
        <v>David Ramirez</v>
      </c>
      <c r="C299" t="s">
        <v>113</v>
      </c>
      <c r="D299" t="s">
        <v>105</v>
      </c>
      <c r="E299" t="s">
        <v>58</v>
      </c>
      <c r="F299">
        <f t="shared" si="17"/>
        <v>48</v>
      </c>
      <c r="G299">
        <v>48</v>
      </c>
      <c r="H299" t="str">
        <f t="shared" si="18"/>
        <v>Female</v>
      </c>
      <c r="I299" t="s">
        <v>22</v>
      </c>
      <c r="J299" s="2">
        <f t="shared" si="19"/>
        <v>252076.51219512196</v>
      </c>
      <c r="L299">
        <f t="shared" si="20"/>
        <v>263971</v>
      </c>
      <c r="M299">
        <v>263971</v>
      </c>
      <c r="N299">
        <v>28575</v>
      </c>
      <c r="O299" t="s">
        <v>33</v>
      </c>
      <c r="P299" t="s">
        <v>17</v>
      </c>
    </row>
    <row r="300" spans="1:16" x14ac:dyDescent="0.3">
      <c r="A300" t="s">
        <v>721</v>
      </c>
      <c r="B300" t="str">
        <f>CONCATENATE(Table1[[#This Row],[First Name]]," ",Table1[[#This Row],[Last Name]])</f>
        <v>William Stephens</v>
      </c>
      <c r="C300" t="s">
        <v>135</v>
      </c>
      <c r="D300" t="s">
        <v>722</v>
      </c>
      <c r="E300" t="s">
        <v>14</v>
      </c>
      <c r="F300">
        <f t="shared" si="17"/>
        <v>46</v>
      </c>
      <c r="G300">
        <v>46</v>
      </c>
      <c r="H300" t="str">
        <f t="shared" si="18"/>
        <v>Male</v>
      </c>
      <c r="I300" t="s">
        <v>59</v>
      </c>
      <c r="J300">
        <f t="shared" si="19"/>
        <v>183901</v>
      </c>
      <c r="K300">
        <v>183901</v>
      </c>
      <c r="L300">
        <f t="shared" si="20"/>
        <v>177542</v>
      </c>
      <c r="M300">
        <v>177542</v>
      </c>
      <c r="N300">
        <v>95568</v>
      </c>
      <c r="O300" t="s">
        <v>23</v>
      </c>
      <c r="P300" t="s">
        <v>24</v>
      </c>
    </row>
    <row r="301" spans="1:16" x14ac:dyDescent="0.3">
      <c r="A301" t="s">
        <v>723</v>
      </c>
      <c r="B301" t="str">
        <f>CONCATENATE(Table1[[#This Row],[First Name]]," ",Table1[[#This Row],[Last Name]])</f>
        <v>Tracy Palmer</v>
      </c>
      <c r="C301" t="s">
        <v>724</v>
      </c>
      <c r="D301" t="s">
        <v>725</v>
      </c>
      <c r="E301" t="s">
        <v>48</v>
      </c>
      <c r="F301">
        <f t="shared" si="17"/>
        <v>53</v>
      </c>
      <c r="G301">
        <v>53</v>
      </c>
      <c r="H301" t="str">
        <f t="shared" si="18"/>
        <v>Female</v>
      </c>
      <c r="I301" t="s">
        <v>22</v>
      </c>
      <c r="J301">
        <f t="shared" si="19"/>
        <v>403540</v>
      </c>
      <c r="K301">
        <v>403540</v>
      </c>
      <c r="L301">
        <f t="shared" si="20"/>
        <v>204089</v>
      </c>
      <c r="M301">
        <v>204089</v>
      </c>
      <c r="N301">
        <v>129090</v>
      </c>
      <c r="O301" t="s">
        <v>23</v>
      </c>
      <c r="P301" t="s">
        <v>17</v>
      </c>
    </row>
    <row r="302" spans="1:16" x14ac:dyDescent="0.3">
      <c r="A302" t="s">
        <v>726</v>
      </c>
      <c r="B302" t="str">
        <f>CONCATENATE(Table1[[#This Row],[First Name]]," ",Table1[[#This Row],[Last Name]])</f>
        <v>Marc Greene</v>
      </c>
      <c r="C302" t="s">
        <v>107</v>
      </c>
      <c r="D302" t="s">
        <v>727</v>
      </c>
      <c r="E302" t="s">
        <v>44</v>
      </c>
      <c r="F302">
        <f t="shared" si="17"/>
        <v>38</v>
      </c>
      <c r="G302">
        <v>38</v>
      </c>
      <c r="H302" t="str">
        <f t="shared" si="18"/>
        <v>Male</v>
      </c>
      <c r="I302" t="s">
        <v>59</v>
      </c>
      <c r="J302" s="2">
        <f t="shared" si="19"/>
        <v>252076.51219512196</v>
      </c>
      <c r="L302">
        <f t="shared" si="20"/>
        <v>135637</v>
      </c>
      <c r="M302">
        <v>135637</v>
      </c>
      <c r="N302">
        <v>70852</v>
      </c>
      <c r="O302" t="s">
        <v>33</v>
      </c>
      <c r="P302" t="s">
        <v>17</v>
      </c>
    </row>
    <row r="303" spans="1:16" x14ac:dyDescent="0.3">
      <c r="A303" t="s">
        <v>728</v>
      </c>
      <c r="B303" t="str">
        <f>CONCATENATE(Table1[[#This Row],[First Name]]," ",Table1[[#This Row],[Last Name]])</f>
        <v>Michael Bailey</v>
      </c>
      <c r="C303" t="s">
        <v>121</v>
      </c>
      <c r="D303" t="s">
        <v>729</v>
      </c>
      <c r="E303" t="s">
        <v>44</v>
      </c>
      <c r="F303">
        <f t="shared" si="17"/>
        <v>50</v>
      </c>
      <c r="G303">
        <v>50</v>
      </c>
      <c r="H303" t="str">
        <f t="shared" si="18"/>
        <v>Unknown</v>
      </c>
      <c r="J303">
        <f t="shared" si="19"/>
        <v>398645</v>
      </c>
      <c r="K303">
        <v>398645</v>
      </c>
      <c r="L303">
        <f t="shared" si="20"/>
        <v>8577</v>
      </c>
      <c r="M303">
        <v>8577</v>
      </c>
      <c r="N303">
        <v>23013</v>
      </c>
      <c r="O303" t="s">
        <v>23</v>
      </c>
      <c r="P303" t="s">
        <v>17</v>
      </c>
    </row>
    <row r="304" spans="1:16" x14ac:dyDescent="0.3">
      <c r="A304" t="s">
        <v>730</v>
      </c>
      <c r="B304" t="str">
        <f>CONCATENATE(Table1[[#This Row],[First Name]]," ",Table1[[#This Row],[Last Name]])</f>
        <v>James Ortega</v>
      </c>
      <c r="C304" t="s">
        <v>232</v>
      </c>
      <c r="D304" t="s">
        <v>653</v>
      </c>
      <c r="E304" t="s">
        <v>21</v>
      </c>
      <c r="F304">
        <f t="shared" si="17"/>
        <v>30</v>
      </c>
      <c r="G304">
        <v>30</v>
      </c>
      <c r="H304" t="str">
        <f t="shared" si="18"/>
        <v>Unknown</v>
      </c>
      <c r="J304">
        <f t="shared" si="19"/>
        <v>306261</v>
      </c>
      <c r="K304">
        <v>306261</v>
      </c>
      <c r="L304">
        <f t="shared" si="20"/>
        <v>269798</v>
      </c>
      <c r="M304">
        <v>269798</v>
      </c>
      <c r="N304">
        <v>80635</v>
      </c>
      <c r="O304" t="s">
        <v>23</v>
      </c>
      <c r="P304" t="s">
        <v>24</v>
      </c>
    </row>
    <row r="305" spans="1:16" x14ac:dyDescent="0.3">
      <c r="A305" t="s">
        <v>731</v>
      </c>
      <c r="B305" t="str">
        <f>CONCATENATE(Table1[[#This Row],[First Name]]," ",Table1[[#This Row],[Last Name]])</f>
        <v>Jennifer Wiley</v>
      </c>
      <c r="C305" t="s">
        <v>26</v>
      </c>
      <c r="D305" t="s">
        <v>732</v>
      </c>
      <c r="E305" t="s">
        <v>48</v>
      </c>
      <c r="F305">
        <f t="shared" si="17"/>
        <v>57</v>
      </c>
      <c r="G305">
        <v>57</v>
      </c>
      <c r="H305" t="str">
        <f t="shared" si="18"/>
        <v>Female</v>
      </c>
      <c r="I305" t="s">
        <v>22</v>
      </c>
      <c r="J305">
        <f t="shared" si="19"/>
        <v>272810</v>
      </c>
      <c r="K305">
        <v>272810</v>
      </c>
      <c r="L305">
        <f t="shared" si="20"/>
        <v>224390</v>
      </c>
      <c r="M305">
        <v>224390</v>
      </c>
      <c r="N305">
        <v>54434</v>
      </c>
      <c r="O305" t="s">
        <v>23</v>
      </c>
      <c r="P305" t="s">
        <v>17</v>
      </c>
    </row>
    <row r="306" spans="1:16" x14ac:dyDescent="0.3">
      <c r="A306" t="s">
        <v>733</v>
      </c>
      <c r="B306" t="str">
        <f>CONCATENATE(Table1[[#This Row],[First Name]]," ",Table1[[#This Row],[Last Name]])</f>
        <v>Melissa Neal</v>
      </c>
      <c r="C306" t="s">
        <v>194</v>
      </c>
      <c r="D306" t="s">
        <v>734</v>
      </c>
      <c r="E306" t="s">
        <v>48</v>
      </c>
      <c r="F306">
        <f t="shared" si="17"/>
        <v>44</v>
      </c>
      <c r="G306">
        <v>44</v>
      </c>
      <c r="H306" t="str">
        <f t="shared" si="18"/>
        <v>Male</v>
      </c>
      <c r="I306" t="s">
        <v>59</v>
      </c>
      <c r="J306">
        <f t="shared" si="19"/>
        <v>312807</v>
      </c>
      <c r="K306">
        <v>312807</v>
      </c>
      <c r="L306">
        <f t="shared" si="20"/>
        <v>192625</v>
      </c>
      <c r="M306">
        <v>192625</v>
      </c>
      <c r="N306">
        <v>82424</v>
      </c>
      <c r="O306" t="s">
        <v>33</v>
      </c>
      <c r="P306" t="s">
        <v>17</v>
      </c>
    </row>
    <row r="307" spans="1:16" x14ac:dyDescent="0.3">
      <c r="A307" t="s">
        <v>735</v>
      </c>
      <c r="B307" t="str">
        <f>CONCATENATE(Table1[[#This Row],[First Name]]," ",Table1[[#This Row],[Last Name]])</f>
        <v>Timothy Wright</v>
      </c>
      <c r="C307" t="s">
        <v>713</v>
      </c>
      <c r="D307" t="s">
        <v>43</v>
      </c>
      <c r="E307" t="s">
        <v>48</v>
      </c>
      <c r="F307">
        <f t="shared" si="17"/>
        <v>27</v>
      </c>
      <c r="G307">
        <v>27</v>
      </c>
      <c r="H307" t="str">
        <f t="shared" si="18"/>
        <v>Female</v>
      </c>
      <c r="I307" t="s">
        <v>22</v>
      </c>
      <c r="J307">
        <f t="shared" si="19"/>
        <v>251648</v>
      </c>
      <c r="K307">
        <v>251648</v>
      </c>
      <c r="L307">
        <f t="shared" si="20"/>
        <v>103172</v>
      </c>
      <c r="M307">
        <v>103172</v>
      </c>
      <c r="N307">
        <v>26129</v>
      </c>
      <c r="O307" t="s">
        <v>33</v>
      </c>
      <c r="P307" t="s">
        <v>24</v>
      </c>
    </row>
    <row r="308" spans="1:16" x14ac:dyDescent="0.3">
      <c r="A308" t="s">
        <v>736</v>
      </c>
      <c r="B308" t="str">
        <f>CONCATENATE(Table1[[#This Row],[First Name]]," ",Table1[[#This Row],[Last Name]])</f>
        <v>Deborah Sexton</v>
      </c>
      <c r="C308" t="s">
        <v>737</v>
      </c>
      <c r="D308" t="s">
        <v>738</v>
      </c>
      <c r="E308" t="s">
        <v>58</v>
      </c>
      <c r="F308">
        <f t="shared" si="17"/>
        <v>27</v>
      </c>
      <c r="G308">
        <v>27</v>
      </c>
      <c r="H308" t="str">
        <f t="shared" si="18"/>
        <v>Male</v>
      </c>
      <c r="I308" t="s">
        <v>59</v>
      </c>
      <c r="J308">
        <f t="shared" si="19"/>
        <v>67974</v>
      </c>
      <c r="K308">
        <v>67974</v>
      </c>
      <c r="L308">
        <f t="shared" si="20"/>
        <v>87618</v>
      </c>
      <c r="M308">
        <v>87618</v>
      </c>
      <c r="N308">
        <v>44357</v>
      </c>
      <c r="O308" t="s">
        <v>23</v>
      </c>
      <c r="P308" t="s">
        <v>17</v>
      </c>
    </row>
    <row r="309" spans="1:16" x14ac:dyDescent="0.3">
      <c r="A309" t="s">
        <v>739</v>
      </c>
      <c r="B309" t="str">
        <f>CONCATENATE(Table1[[#This Row],[First Name]]," ",Table1[[#This Row],[Last Name]])</f>
        <v>Alyssa Miller</v>
      </c>
      <c r="C309" t="s">
        <v>740</v>
      </c>
      <c r="D309" t="s">
        <v>213</v>
      </c>
      <c r="E309" t="s">
        <v>48</v>
      </c>
      <c r="F309">
        <f t="shared" si="17"/>
        <v>22</v>
      </c>
      <c r="G309">
        <v>22</v>
      </c>
      <c r="H309" t="str">
        <f t="shared" si="18"/>
        <v>Male</v>
      </c>
      <c r="I309" t="s">
        <v>59</v>
      </c>
      <c r="J309">
        <f t="shared" si="19"/>
        <v>485485</v>
      </c>
      <c r="K309">
        <v>485485</v>
      </c>
      <c r="L309">
        <f t="shared" si="20"/>
        <v>18784</v>
      </c>
      <c r="M309">
        <v>18784</v>
      </c>
      <c r="N309">
        <v>93813</v>
      </c>
      <c r="O309" t="s">
        <v>16</v>
      </c>
      <c r="P309" t="s">
        <v>24</v>
      </c>
    </row>
    <row r="310" spans="1:16" x14ac:dyDescent="0.3">
      <c r="A310" t="s">
        <v>741</v>
      </c>
      <c r="B310" t="str">
        <f>CONCATENATE(Table1[[#This Row],[First Name]]," ",Table1[[#This Row],[Last Name]])</f>
        <v>Rebecca Diaz</v>
      </c>
      <c r="C310" t="s">
        <v>742</v>
      </c>
      <c r="D310" t="s">
        <v>743</v>
      </c>
      <c r="E310" t="s">
        <v>58</v>
      </c>
      <c r="F310">
        <f t="shared" si="17"/>
        <v>54</v>
      </c>
      <c r="G310">
        <v>54</v>
      </c>
      <c r="H310" t="str">
        <f t="shared" si="18"/>
        <v>Male</v>
      </c>
      <c r="I310" t="s">
        <v>59</v>
      </c>
      <c r="J310">
        <f t="shared" si="19"/>
        <v>109958</v>
      </c>
      <c r="K310">
        <v>109958</v>
      </c>
      <c r="L310">
        <f t="shared" si="20"/>
        <v>107125</v>
      </c>
      <c r="M310">
        <v>107125</v>
      </c>
      <c r="N310">
        <v>127145</v>
      </c>
      <c r="O310" t="s">
        <v>16</v>
      </c>
      <c r="P310" t="s">
        <v>24</v>
      </c>
    </row>
    <row r="311" spans="1:16" x14ac:dyDescent="0.3">
      <c r="A311" t="s">
        <v>744</v>
      </c>
      <c r="B311" t="str">
        <f>CONCATENATE(Table1[[#This Row],[First Name]]," ",Table1[[#This Row],[Last Name]])</f>
        <v>Sara Villa</v>
      </c>
      <c r="C311" t="s">
        <v>281</v>
      </c>
      <c r="D311" t="s">
        <v>745</v>
      </c>
      <c r="E311" t="s">
        <v>14</v>
      </c>
      <c r="F311">
        <f t="shared" si="17"/>
        <v>43</v>
      </c>
      <c r="G311">
        <v>43</v>
      </c>
      <c r="H311" t="str">
        <f t="shared" si="18"/>
        <v>Unknown</v>
      </c>
      <c r="J311">
        <f t="shared" si="19"/>
        <v>278282</v>
      </c>
      <c r="K311">
        <v>278282</v>
      </c>
      <c r="L311">
        <f t="shared" si="20"/>
        <v>29959</v>
      </c>
      <c r="M311">
        <v>29959</v>
      </c>
      <c r="N311">
        <v>142328</v>
      </c>
      <c r="O311" t="s">
        <v>16</v>
      </c>
      <c r="P311" t="s">
        <v>17</v>
      </c>
    </row>
    <row r="312" spans="1:16" x14ac:dyDescent="0.3">
      <c r="A312" t="s">
        <v>746</v>
      </c>
      <c r="B312" t="str">
        <f>CONCATENATE(Table1[[#This Row],[First Name]]," ",Table1[[#This Row],[Last Name]])</f>
        <v>Joseph Robinson</v>
      </c>
      <c r="C312" t="s">
        <v>527</v>
      </c>
      <c r="D312" t="s">
        <v>665</v>
      </c>
      <c r="E312" t="s">
        <v>14</v>
      </c>
      <c r="F312">
        <f t="shared" si="17"/>
        <v>50</v>
      </c>
      <c r="G312">
        <v>50</v>
      </c>
      <c r="H312" t="str">
        <f t="shared" si="18"/>
        <v>Male</v>
      </c>
      <c r="I312" t="s">
        <v>59</v>
      </c>
      <c r="J312">
        <f t="shared" si="19"/>
        <v>355771</v>
      </c>
      <c r="K312">
        <v>355771</v>
      </c>
      <c r="L312" s="2">
        <f t="shared" si="20"/>
        <v>142039</v>
      </c>
      <c r="N312">
        <v>41859</v>
      </c>
      <c r="O312" t="s">
        <v>33</v>
      </c>
      <c r="P312" t="s">
        <v>17</v>
      </c>
    </row>
    <row r="313" spans="1:16" x14ac:dyDescent="0.3">
      <c r="A313" t="s">
        <v>747</v>
      </c>
      <c r="B313" t="str">
        <f>CONCATENATE(Table1[[#This Row],[First Name]]," ",Table1[[#This Row],[Last Name]])</f>
        <v>Amy Guzman</v>
      </c>
      <c r="C313" t="s">
        <v>203</v>
      </c>
      <c r="D313" t="s">
        <v>748</v>
      </c>
      <c r="E313" t="s">
        <v>48</v>
      </c>
      <c r="F313">
        <f t="shared" si="17"/>
        <v>57</v>
      </c>
      <c r="G313">
        <v>57</v>
      </c>
      <c r="H313" t="str">
        <f t="shared" si="18"/>
        <v>Unknown</v>
      </c>
      <c r="J313">
        <f t="shared" si="19"/>
        <v>45970</v>
      </c>
      <c r="K313">
        <v>45970</v>
      </c>
      <c r="L313">
        <f t="shared" si="20"/>
        <v>128766</v>
      </c>
      <c r="M313">
        <v>128766</v>
      </c>
      <c r="N313">
        <v>125001</v>
      </c>
      <c r="O313" t="s">
        <v>33</v>
      </c>
      <c r="P313" t="s">
        <v>17</v>
      </c>
    </row>
    <row r="314" spans="1:16" x14ac:dyDescent="0.3">
      <c r="A314" t="s">
        <v>749</v>
      </c>
      <c r="B314" t="str">
        <f>CONCATENATE(Table1[[#This Row],[First Name]]," ",Table1[[#This Row],[Last Name]])</f>
        <v>Samantha Williams</v>
      </c>
      <c r="C314" t="s">
        <v>750</v>
      </c>
      <c r="D314" t="s">
        <v>751</v>
      </c>
      <c r="E314" t="s">
        <v>44</v>
      </c>
      <c r="F314">
        <f t="shared" si="17"/>
        <v>48</v>
      </c>
      <c r="G314">
        <v>48</v>
      </c>
      <c r="H314" t="str">
        <f t="shared" si="18"/>
        <v>Unknown</v>
      </c>
      <c r="J314" s="2">
        <f t="shared" si="19"/>
        <v>252076.51219512196</v>
      </c>
      <c r="L314">
        <f t="shared" si="20"/>
        <v>206990</v>
      </c>
      <c r="M314">
        <v>206990</v>
      </c>
      <c r="N314">
        <v>54111</v>
      </c>
      <c r="O314" t="s">
        <v>23</v>
      </c>
      <c r="P314" t="s">
        <v>24</v>
      </c>
    </row>
    <row r="315" spans="1:16" x14ac:dyDescent="0.3">
      <c r="A315" t="s">
        <v>752</v>
      </c>
      <c r="B315" t="str">
        <f>CONCATENATE(Table1[[#This Row],[First Name]]," ",Table1[[#This Row],[Last Name]])</f>
        <v>Adam Jones</v>
      </c>
      <c r="C315" t="s">
        <v>753</v>
      </c>
      <c r="D315" t="s">
        <v>177</v>
      </c>
      <c r="E315" t="s">
        <v>21</v>
      </c>
      <c r="F315">
        <f t="shared" si="17"/>
        <v>53</v>
      </c>
      <c r="G315">
        <v>53</v>
      </c>
      <c r="H315" t="str">
        <f t="shared" si="18"/>
        <v>Male</v>
      </c>
      <c r="I315" t="s">
        <v>59</v>
      </c>
      <c r="J315">
        <f t="shared" si="19"/>
        <v>157820</v>
      </c>
      <c r="K315">
        <v>157820</v>
      </c>
      <c r="L315">
        <f t="shared" si="20"/>
        <v>64024</v>
      </c>
      <c r="M315">
        <v>64024</v>
      </c>
      <c r="N315">
        <v>87134</v>
      </c>
      <c r="O315" t="s">
        <v>33</v>
      </c>
      <c r="P315" t="s">
        <v>17</v>
      </c>
    </row>
    <row r="316" spans="1:16" x14ac:dyDescent="0.3">
      <c r="A316" t="s">
        <v>754</v>
      </c>
      <c r="B316" t="str">
        <f>CONCATENATE(Table1[[#This Row],[First Name]]," ",Table1[[#This Row],[Last Name]])</f>
        <v>Lori Hoffman</v>
      </c>
      <c r="C316" t="s">
        <v>755</v>
      </c>
      <c r="D316" t="s">
        <v>756</v>
      </c>
      <c r="E316" t="s">
        <v>44</v>
      </c>
      <c r="F316">
        <f t="shared" si="17"/>
        <v>26</v>
      </c>
      <c r="G316">
        <v>26</v>
      </c>
      <c r="H316" t="str">
        <f t="shared" si="18"/>
        <v>Unknown</v>
      </c>
      <c r="J316">
        <f t="shared" si="19"/>
        <v>176152</v>
      </c>
      <c r="K316">
        <v>176152</v>
      </c>
      <c r="L316">
        <f t="shared" si="20"/>
        <v>295988</v>
      </c>
      <c r="M316">
        <v>295988</v>
      </c>
      <c r="N316">
        <v>99815</v>
      </c>
      <c r="O316" t="s">
        <v>16</v>
      </c>
      <c r="P316" t="s">
        <v>17</v>
      </c>
    </row>
    <row r="317" spans="1:16" x14ac:dyDescent="0.3">
      <c r="A317" t="s">
        <v>757</v>
      </c>
      <c r="B317" t="str">
        <f>CONCATENATE(Table1[[#This Row],[First Name]]," ",Table1[[#This Row],[Last Name]])</f>
        <v>John Walker</v>
      </c>
      <c r="C317" t="s">
        <v>80</v>
      </c>
      <c r="D317" t="s">
        <v>758</v>
      </c>
      <c r="E317" t="s">
        <v>21</v>
      </c>
      <c r="F317">
        <f t="shared" si="17"/>
        <v>58</v>
      </c>
      <c r="G317">
        <v>58</v>
      </c>
      <c r="H317" t="str">
        <f t="shared" si="18"/>
        <v>Female</v>
      </c>
      <c r="I317" t="s">
        <v>22</v>
      </c>
      <c r="J317">
        <f t="shared" si="19"/>
        <v>287850</v>
      </c>
      <c r="K317">
        <v>287850</v>
      </c>
      <c r="L317">
        <f t="shared" si="20"/>
        <v>126707</v>
      </c>
      <c r="M317">
        <v>126707</v>
      </c>
      <c r="N317">
        <v>35430</v>
      </c>
      <c r="O317" t="s">
        <v>16</v>
      </c>
      <c r="P317" t="s">
        <v>17</v>
      </c>
    </row>
    <row r="318" spans="1:16" x14ac:dyDescent="0.3">
      <c r="A318" t="s">
        <v>759</v>
      </c>
      <c r="B318" t="str">
        <f>CONCATENATE(Table1[[#This Row],[First Name]]," ",Table1[[#This Row],[Last Name]])</f>
        <v>Jonathan Black</v>
      </c>
      <c r="C318" t="s">
        <v>760</v>
      </c>
      <c r="D318" t="s">
        <v>761</v>
      </c>
      <c r="E318" t="s">
        <v>58</v>
      </c>
      <c r="F318">
        <f t="shared" si="17"/>
        <v>50</v>
      </c>
      <c r="G318">
        <v>50</v>
      </c>
      <c r="H318" t="str">
        <f t="shared" si="18"/>
        <v>Female</v>
      </c>
      <c r="I318" t="s">
        <v>22</v>
      </c>
      <c r="J318" s="2">
        <f t="shared" si="19"/>
        <v>252076.51219512196</v>
      </c>
      <c r="L318">
        <f t="shared" si="20"/>
        <v>165647</v>
      </c>
      <c r="M318">
        <v>165647</v>
      </c>
      <c r="N318">
        <v>128389</v>
      </c>
      <c r="O318" t="s">
        <v>16</v>
      </c>
      <c r="P318" t="s">
        <v>24</v>
      </c>
    </row>
    <row r="319" spans="1:16" x14ac:dyDescent="0.3">
      <c r="A319" t="s">
        <v>762</v>
      </c>
      <c r="B319" t="str">
        <f>CONCATENATE(Table1[[#This Row],[First Name]]," ",Table1[[#This Row],[Last Name]])</f>
        <v>Kristina Lawrence</v>
      </c>
      <c r="C319" t="s">
        <v>763</v>
      </c>
      <c r="D319" t="s">
        <v>580</v>
      </c>
      <c r="E319" t="s">
        <v>58</v>
      </c>
      <c r="F319">
        <f t="shared" si="17"/>
        <v>50</v>
      </c>
      <c r="G319">
        <v>50</v>
      </c>
      <c r="H319" t="str">
        <f t="shared" si="18"/>
        <v>Male</v>
      </c>
      <c r="I319" t="s">
        <v>59</v>
      </c>
      <c r="J319">
        <f t="shared" si="19"/>
        <v>77356</v>
      </c>
      <c r="K319">
        <v>77356</v>
      </c>
      <c r="L319">
        <f t="shared" si="20"/>
        <v>224656</v>
      </c>
      <c r="M319">
        <v>224656</v>
      </c>
      <c r="N319">
        <v>39771</v>
      </c>
      <c r="O319" t="s">
        <v>23</v>
      </c>
      <c r="P319" t="s">
        <v>24</v>
      </c>
    </row>
    <row r="320" spans="1:16" x14ac:dyDescent="0.3">
      <c r="A320" t="s">
        <v>764</v>
      </c>
      <c r="B320" t="str">
        <f>CONCATENATE(Table1[[#This Row],[First Name]]," ",Table1[[#This Row],[Last Name]])</f>
        <v>Ashley Mckee</v>
      </c>
      <c r="C320" t="s">
        <v>260</v>
      </c>
      <c r="D320" t="s">
        <v>765</v>
      </c>
      <c r="E320" t="s">
        <v>48</v>
      </c>
      <c r="F320">
        <f t="shared" si="17"/>
        <v>53</v>
      </c>
      <c r="G320">
        <v>53</v>
      </c>
      <c r="H320" t="str">
        <f t="shared" si="18"/>
        <v>Female</v>
      </c>
      <c r="I320" t="s">
        <v>22</v>
      </c>
      <c r="J320">
        <f t="shared" si="19"/>
        <v>115703</v>
      </c>
      <c r="K320">
        <v>115703</v>
      </c>
      <c r="L320" s="2">
        <f t="shared" si="20"/>
        <v>134964.83333333334</v>
      </c>
      <c r="N320">
        <v>33155</v>
      </c>
      <c r="O320" t="s">
        <v>33</v>
      </c>
      <c r="P320" t="s">
        <v>24</v>
      </c>
    </row>
    <row r="321" spans="1:16" x14ac:dyDescent="0.3">
      <c r="A321" t="s">
        <v>766</v>
      </c>
      <c r="B321" t="str">
        <f>CONCATENATE(Table1[[#This Row],[First Name]]," ",Table1[[#This Row],[Last Name]])</f>
        <v>Morgan Hoffman</v>
      </c>
      <c r="C321" t="s">
        <v>767</v>
      </c>
      <c r="D321" t="s">
        <v>756</v>
      </c>
      <c r="E321" t="s">
        <v>21</v>
      </c>
      <c r="F321">
        <f t="shared" si="17"/>
        <v>28</v>
      </c>
      <c r="G321">
        <v>28</v>
      </c>
      <c r="H321" t="str">
        <f t="shared" si="18"/>
        <v>Male</v>
      </c>
      <c r="I321" t="s">
        <v>59</v>
      </c>
      <c r="J321">
        <f t="shared" si="19"/>
        <v>119331</v>
      </c>
      <c r="K321">
        <v>119331</v>
      </c>
      <c r="L321">
        <f t="shared" si="20"/>
        <v>53706</v>
      </c>
      <c r="M321">
        <v>53706</v>
      </c>
      <c r="N321">
        <v>112694</v>
      </c>
      <c r="O321" t="s">
        <v>16</v>
      </c>
      <c r="P321" t="s">
        <v>24</v>
      </c>
    </row>
    <row r="322" spans="1:16" x14ac:dyDescent="0.3">
      <c r="A322" t="s">
        <v>768</v>
      </c>
      <c r="B322" t="str">
        <f>CONCATENATE(Table1[[#This Row],[First Name]]," ",Table1[[#This Row],[Last Name]])</f>
        <v>Andrew Holmes</v>
      </c>
      <c r="C322" t="s">
        <v>188</v>
      </c>
      <c r="D322" t="s">
        <v>705</v>
      </c>
      <c r="E322" t="s">
        <v>14</v>
      </c>
      <c r="F322">
        <f t="shared" ref="F322:F385" si="21">IF(G322="", AVERAGE($G$2:$G$501),G322)</f>
        <v>36</v>
      </c>
      <c r="G322">
        <v>36</v>
      </c>
      <c r="H322" t="str">
        <f t="shared" ref="H322:H385" si="22">IF(I322="","Unknown",I322)</f>
        <v>Female</v>
      </c>
      <c r="I322" t="s">
        <v>22</v>
      </c>
      <c r="J322">
        <f t="shared" ref="J322:J385" si="23">IF(K322="",AVERAGE($K$2:$K$501),K322)</f>
        <v>257047</v>
      </c>
      <c r="K322">
        <v>257047</v>
      </c>
      <c r="L322">
        <f t="shared" ref="L322:L385" si="24">IF(M322="",AVERAGEIF($F$2:$F$501,F322,$M$2:$M$501),M322)</f>
        <v>64877</v>
      </c>
      <c r="M322">
        <v>64877</v>
      </c>
      <c r="N322">
        <v>35938</v>
      </c>
      <c r="O322" t="s">
        <v>23</v>
      </c>
      <c r="P322" t="s">
        <v>24</v>
      </c>
    </row>
    <row r="323" spans="1:16" x14ac:dyDescent="0.3">
      <c r="A323" t="s">
        <v>769</v>
      </c>
      <c r="B323" t="str">
        <f>CONCATENATE(Table1[[#This Row],[First Name]]," ",Table1[[#This Row],[Last Name]])</f>
        <v>Lisa Gonzalez</v>
      </c>
      <c r="C323" t="s">
        <v>770</v>
      </c>
      <c r="D323" t="s">
        <v>157</v>
      </c>
      <c r="E323" t="s">
        <v>21</v>
      </c>
      <c r="F323">
        <f t="shared" si="21"/>
        <v>28</v>
      </c>
      <c r="G323">
        <v>28</v>
      </c>
      <c r="H323" t="str">
        <f t="shared" si="22"/>
        <v>Male</v>
      </c>
      <c r="I323" t="s">
        <v>59</v>
      </c>
      <c r="J323">
        <f t="shared" si="23"/>
        <v>212599</v>
      </c>
      <c r="K323">
        <v>212599</v>
      </c>
      <c r="L323">
        <f t="shared" si="24"/>
        <v>223891</v>
      </c>
      <c r="M323">
        <v>223891</v>
      </c>
      <c r="N323">
        <v>107628</v>
      </c>
      <c r="O323" t="s">
        <v>33</v>
      </c>
      <c r="P323" t="s">
        <v>17</v>
      </c>
    </row>
    <row r="324" spans="1:16" x14ac:dyDescent="0.3">
      <c r="A324" t="s">
        <v>771</v>
      </c>
      <c r="B324" t="str">
        <f>CONCATENATE(Table1[[#This Row],[First Name]]," ",Table1[[#This Row],[Last Name]])</f>
        <v>Lisa Smith</v>
      </c>
      <c r="C324" t="s">
        <v>770</v>
      </c>
      <c r="D324" t="s">
        <v>62</v>
      </c>
      <c r="E324" t="s">
        <v>44</v>
      </c>
      <c r="F324">
        <f t="shared" si="21"/>
        <v>39</v>
      </c>
      <c r="G324">
        <v>39</v>
      </c>
      <c r="H324" t="str">
        <f t="shared" si="22"/>
        <v>Unknown</v>
      </c>
      <c r="J324">
        <f t="shared" si="23"/>
        <v>298336</v>
      </c>
      <c r="K324">
        <v>298336</v>
      </c>
      <c r="L324">
        <f t="shared" si="24"/>
        <v>266155</v>
      </c>
      <c r="M324">
        <v>266155</v>
      </c>
      <c r="N324">
        <v>132740</v>
      </c>
      <c r="O324" t="s">
        <v>16</v>
      </c>
      <c r="P324" t="s">
        <v>17</v>
      </c>
    </row>
    <row r="325" spans="1:16" x14ac:dyDescent="0.3">
      <c r="A325" t="s">
        <v>772</v>
      </c>
      <c r="B325" t="str">
        <f>CONCATENATE(Table1[[#This Row],[First Name]]," ",Table1[[#This Row],[Last Name]])</f>
        <v>Alejandra Mullins</v>
      </c>
      <c r="C325" t="s">
        <v>773</v>
      </c>
      <c r="D325" t="s">
        <v>774</v>
      </c>
      <c r="E325" t="s">
        <v>14</v>
      </c>
      <c r="F325">
        <f t="shared" si="21"/>
        <v>41</v>
      </c>
      <c r="G325">
        <v>41</v>
      </c>
      <c r="H325" t="str">
        <f t="shared" si="22"/>
        <v>Female</v>
      </c>
      <c r="I325" t="s">
        <v>22</v>
      </c>
      <c r="J325">
        <f t="shared" si="23"/>
        <v>297902</v>
      </c>
      <c r="K325">
        <v>297902</v>
      </c>
      <c r="L325">
        <f t="shared" si="24"/>
        <v>118874</v>
      </c>
      <c r="M325">
        <v>118874</v>
      </c>
      <c r="N325">
        <v>125811</v>
      </c>
      <c r="O325" t="s">
        <v>23</v>
      </c>
      <c r="P325" t="s">
        <v>24</v>
      </c>
    </row>
    <row r="326" spans="1:16" x14ac:dyDescent="0.3">
      <c r="A326" t="s">
        <v>775</v>
      </c>
      <c r="B326" t="str">
        <f>CONCATENATE(Table1[[#This Row],[First Name]]," ",Table1[[#This Row],[Last Name]])</f>
        <v>Amy Ward</v>
      </c>
      <c r="C326" t="s">
        <v>203</v>
      </c>
      <c r="D326" t="s">
        <v>489</v>
      </c>
      <c r="E326" t="s">
        <v>14</v>
      </c>
      <c r="F326">
        <f t="shared" si="21"/>
        <v>33</v>
      </c>
      <c r="G326">
        <v>33</v>
      </c>
      <c r="H326" t="str">
        <f t="shared" si="22"/>
        <v>Female</v>
      </c>
      <c r="I326" t="s">
        <v>22</v>
      </c>
      <c r="J326">
        <f t="shared" si="23"/>
        <v>404473</v>
      </c>
      <c r="K326">
        <v>404473</v>
      </c>
      <c r="L326">
        <f t="shared" si="24"/>
        <v>114030</v>
      </c>
      <c r="M326">
        <v>114030</v>
      </c>
      <c r="N326">
        <v>134260</v>
      </c>
      <c r="O326" t="s">
        <v>16</v>
      </c>
      <c r="P326" t="s">
        <v>17</v>
      </c>
    </row>
    <row r="327" spans="1:16" x14ac:dyDescent="0.3">
      <c r="A327" t="s">
        <v>776</v>
      </c>
      <c r="B327" t="str">
        <f>CONCATENATE(Table1[[#This Row],[First Name]]," ",Table1[[#This Row],[Last Name]])</f>
        <v>Kimberly Jones</v>
      </c>
      <c r="C327" t="s">
        <v>599</v>
      </c>
      <c r="D327" t="s">
        <v>177</v>
      </c>
      <c r="E327" t="s">
        <v>58</v>
      </c>
      <c r="F327">
        <f t="shared" si="21"/>
        <v>26</v>
      </c>
      <c r="G327">
        <v>26</v>
      </c>
      <c r="H327" t="str">
        <f t="shared" si="22"/>
        <v>Male</v>
      </c>
      <c r="I327" t="s">
        <v>59</v>
      </c>
      <c r="J327">
        <f t="shared" si="23"/>
        <v>22755</v>
      </c>
      <c r="K327">
        <v>22755</v>
      </c>
      <c r="L327">
        <f t="shared" si="24"/>
        <v>44105</v>
      </c>
      <c r="M327">
        <v>44105</v>
      </c>
      <c r="N327">
        <v>119698</v>
      </c>
      <c r="O327" t="s">
        <v>23</v>
      </c>
      <c r="P327" t="s">
        <v>17</v>
      </c>
    </row>
    <row r="328" spans="1:16" x14ac:dyDescent="0.3">
      <c r="A328" t="s">
        <v>777</v>
      </c>
      <c r="B328" t="str">
        <f>CONCATENATE(Table1[[#This Row],[First Name]]," ",Table1[[#This Row],[Last Name]])</f>
        <v>Dennis Eaton</v>
      </c>
      <c r="C328" t="s">
        <v>286</v>
      </c>
      <c r="D328" t="s">
        <v>778</v>
      </c>
      <c r="E328" t="s">
        <v>14</v>
      </c>
      <c r="F328">
        <f t="shared" si="21"/>
        <v>50</v>
      </c>
      <c r="G328">
        <v>50</v>
      </c>
      <c r="H328" t="str">
        <f t="shared" si="22"/>
        <v>Female</v>
      </c>
      <c r="I328" t="s">
        <v>22</v>
      </c>
      <c r="J328" s="2">
        <f t="shared" si="23"/>
        <v>252076.51219512196</v>
      </c>
      <c r="L328">
        <f t="shared" si="24"/>
        <v>5313</v>
      </c>
      <c r="M328">
        <v>5313</v>
      </c>
      <c r="N328">
        <v>73994</v>
      </c>
      <c r="O328" t="s">
        <v>33</v>
      </c>
      <c r="P328" t="s">
        <v>17</v>
      </c>
    </row>
    <row r="329" spans="1:16" x14ac:dyDescent="0.3">
      <c r="A329" t="s">
        <v>779</v>
      </c>
      <c r="B329" t="str">
        <f>CONCATENATE(Table1[[#This Row],[First Name]]," ",Table1[[#This Row],[Last Name]])</f>
        <v>Stephen Edwards</v>
      </c>
      <c r="C329" t="s">
        <v>197</v>
      </c>
      <c r="D329" t="s">
        <v>477</v>
      </c>
      <c r="E329" t="s">
        <v>21</v>
      </c>
      <c r="F329">
        <f t="shared" si="21"/>
        <v>28</v>
      </c>
      <c r="G329">
        <v>28</v>
      </c>
      <c r="H329" t="str">
        <f t="shared" si="22"/>
        <v>Female</v>
      </c>
      <c r="I329" t="s">
        <v>22</v>
      </c>
      <c r="J329" s="2">
        <f t="shared" si="23"/>
        <v>252076.51219512196</v>
      </c>
      <c r="L329">
        <f t="shared" si="24"/>
        <v>42716</v>
      </c>
      <c r="M329">
        <v>42716</v>
      </c>
      <c r="N329">
        <v>124454</v>
      </c>
      <c r="O329" t="s">
        <v>23</v>
      </c>
      <c r="P329" t="s">
        <v>17</v>
      </c>
    </row>
    <row r="330" spans="1:16" x14ac:dyDescent="0.3">
      <c r="A330" t="s">
        <v>780</v>
      </c>
      <c r="B330" t="str">
        <f>CONCATENATE(Table1[[#This Row],[First Name]]," ",Table1[[#This Row],[Last Name]])</f>
        <v>Emily Wright</v>
      </c>
      <c r="C330" t="s">
        <v>363</v>
      </c>
      <c r="D330" t="s">
        <v>43</v>
      </c>
      <c r="E330" t="s">
        <v>21</v>
      </c>
      <c r="F330">
        <f t="shared" si="21"/>
        <v>27</v>
      </c>
      <c r="G330">
        <v>27</v>
      </c>
      <c r="H330" t="str">
        <f t="shared" si="22"/>
        <v>Unknown</v>
      </c>
      <c r="J330">
        <f t="shared" si="23"/>
        <v>290084</v>
      </c>
      <c r="K330">
        <v>290084</v>
      </c>
      <c r="L330">
        <f t="shared" si="24"/>
        <v>46043</v>
      </c>
      <c r="M330">
        <v>46043</v>
      </c>
      <c r="N330">
        <v>41016</v>
      </c>
      <c r="O330" t="s">
        <v>16</v>
      </c>
      <c r="P330" t="s">
        <v>24</v>
      </c>
    </row>
    <row r="331" spans="1:16" x14ac:dyDescent="0.3">
      <c r="A331" t="s">
        <v>781</v>
      </c>
      <c r="B331" t="str">
        <f>CONCATENATE(Table1[[#This Row],[First Name]]," ",Table1[[#This Row],[Last Name]])</f>
        <v>Danielle Parker</v>
      </c>
      <c r="C331" t="s">
        <v>782</v>
      </c>
      <c r="D331" t="s">
        <v>783</v>
      </c>
      <c r="E331" t="s">
        <v>14</v>
      </c>
      <c r="F331">
        <f t="shared" si="21"/>
        <v>46</v>
      </c>
      <c r="G331">
        <v>46</v>
      </c>
      <c r="H331" t="str">
        <f t="shared" si="22"/>
        <v>Female</v>
      </c>
      <c r="I331" t="s">
        <v>22</v>
      </c>
      <c r="J331">
        <f t="shared" si="23"/>
        <v>170467</v>
      </c>
      <c r="K331">
        <v>170467</v>
      </c>
      <c r="L331">
        <f t="shared" si="24"/>
        <v>135825</v>
      </c>
      <c r="M331">
        <v>135825</v>
      </c>
      <c r="N331">
        <v>109158</v>
      </c>
      <c r="O331" t="s">
        <v>33</v>
      </c>
      <c r="P331" t="s">
        <v>24</v>
      </c>
    </row>
    <row r="332" spans="1:16" x14ac:dyDescent="0.3">
      <c r="A332" t="s">
        <v>784</v>
      </c>
      <c r="B332" t="str">
        <f>CONCATENATE(Table1[[#This Row],[First Name]]," ",Table1[[#This Row],[Last Name]])</f>
        <v>Renee Johnson</v>
      </c>
      <c r="C332" t="s">
        <v>110</v>
      </c>
      <c r="D332" t="s">
        <v>174</v>
      </c>
      <c r="E332" t="s">
        <v>48</v>
      </c>
      <c r="F332">
        <f t="shared" si="21"/>
        <v>49</v>
      </c>
      <c r="G332">
        <v>49</v>
      </c>
      <c r="H332" t="str">
        <f t="shared" si="22"/>
        <v>Unknown</v>
      </c>
      <c r="J332">
        <f t="shared" si="23"/>
        <v>204803</v>
      </c>
      <c r="K332">
        <v>204803</v>
      </c>
      <c r="L332">
        <f t="shared" si="24"/>
        <v>32528</v>
      </c>
      <c r="M332">
        <v>32528</v>
      </c>
      <c r="N332">
        <v>63634</v>
      </c>
      <c r="O332" t="s">
        <v>23</v>
      </c>
      <c r="P332" t="s">
        <v>24</v>
      </c>
    </row>
    <row r="333" spans="1:16" x14ac:dyDescent="0.3">
      <c r="A333" t="s">
        <v>785</v>
      </c>
      <c r="B333" t="str">
        <f>CONCATENATE(Table1[[#This Row],[First Name]]," ",Table1[[#This Row],[Last Name]])</f>
        <v>Thomas Schmidt</v>
      </c>
      <c r="C333" t="s">
        <v>116</v>
      </c>
      <c r="D333" t="s">
        <v>786</v>
      </c>
      <c r="E333" t="s">
        <v>14</v>
      </c>
      <c r="F333">
        <f t="shared" si="21"/>
        <v>25</v>
      </c>
      <c r="G333">
        <v>25</v>
      </c>
      <c r="H333" t="str">
        <f t="shared" si="22"/>
        <v>Male</v>
      </c>
      <c r="I333" t="s">
        <v>59</v>
      </c>
      <c r="J333">
        <f t="shared" si="23"/>
        <v>80008</v>
      </c>
      <c r="K333">
        <v>80008</v>
      </c>
      <c r="L333">
        <f t="shared" si="24"/>
        <v>277616</v>
      </c>
      <c r="M333">
        <v>277616</v>
      </c>
      <c r="N333">
        <v>147411</v>
      </c>
      <c r="O333" t="s">
        <v>16</v>
      </c>
      <c r="P333" t="s">
        <v>24</v>
      </c>
    </row>
    <row r="334" spans="1:16" x14ac:dyDescent="0.3">
      <c r="A334" t="s">
        <v>787</v>
      </c>
      <c r="B334" t="str">
        <f>CONCATENATE(Table1[[#This Row],[First Name]]," ",Table1[[#This Row],[Last Name]])</f>
        <v>Trevor Gill</v>
      </c>
      <c r="C334" t="s">
        <v>788</v>
      </c>
      <c r="D334" t="s">
        <v>789</v>
      </c>
      <c r="E334" t="s">
        <v>44</v>
      </c>
      <c r="F334">
        <f t="shared" si="21"/>
        <v>49</v>
      </c>
      <c r="G334">
        <v>49</v>
      </c>
      <c r="H334" t="str">
        <f t="shared" si="22"/>
        <v>Male</v>
      </c>
      <c r="I334" t="s">
        <v>59</v>
      </c>
      <c r="J334">
        <f t="shared" si="23"/>
        <v>343663</v>
      </c>
      <c r="K334">
        <v>343663</v>
      </c>
      <c r="L334">
        <f t="shared" si="24"/>
        <v>214206</v>
      </c>
      <c r="M334">
        <v>214206</v>
      </c>
      <c r="N334">
        <v>98557</v>
      </c>
      <c r="O334" t="s">
        <v>23</v>
      </c>
      <c r="P334" t="s">
        <v>17</v>
      </c>
    </row>
    <row r="335" spans="1:16" x14ac:dyDescent="0.3">
      <c r="A335" t="s">
        <v>790</v>
      </c>
      <c r="B335" t="str">
        <f>CONCATENATE(Table1[[#This Row],[First Name]]," ",Table1[[#This Row],[Last Name]])</f>
        <v>Jordan Arnold</v>
      </c>
      <c r="C335" t="s">
        <v>31</v>
      </c>
      <c r="D335" t="s">
        <v>791</v>
      </c>
      <c r="E335" t="s">
        <v>48</v>
      </c>
      <c r="F335">
        <f t="shared" si="21"/>
        <v>35</v>
      </c>
      <c r="G335">
        <v>35</v>
      </c>
      <c r="H335" t="str">
        <f t="shared" si="22"/>
        <v>Male</v>
      </c>
      <c r="I335" t="s">
        <v>59</v>
      </c>
      <c r="J335">
        <f t="shared" si="23"/>
        <v>9875</v>
      </c>
      <c r="K335">
        <v>9875</v>
      </c>
      <c r="L335">
        <f t="shared" si="24"/>
        <v>172030</v>
      </c>
      <c r="M335">
        <v>172030</v>
      </c>
      <c r="N335">
        <v>52296</v>
      </c>
      <c r="O335" t="s">
        <v>16</v>
      </c>
      <c r="P335" t="s">
        <v>17</v>
      </c>
    </row>
    <row r="336" spans="1:16" x14ac:dyDescent="0.3">
      <c r="A336" t="s">
        <v>792</v>
      </c>
      <c r="B336" t="str">
        <f>CONCATENATE(Table1[[#This Row],[First Name]]," ",Table1[[#This Row],[Last Name]])</f>
        <v>Marie Hurley</v>
      </c>
      <c r="C336" t="s">
        <v>793</v>
      </c>
      <c r="D336" t="s">
        <v>794</v>
      </c>
      <c r="E336" t="s">
        <v>44</v>
      </c>
      <c r="F336">
        <f t="shared" si="21"/>
        <v>21</v>
      </c>
      <c r="G336">
        <v>21</v>
      </c>
      <c r="H336" t="str">
        <f t="shared" si="22"/>
        <v>Male</v>
      </c>
      <c r="I336" t="s">
        <v>59</v>
      </c>
      <c r="J336" s="2">
        <f t="shared" si="23"/>
        <v>252076.51219512196</v>
      </c>
      <c r="L336">
        <f t="shared" si="24"/>
        <v>175040</v>
      </c>
      <c r="M336">
        <v>175040</v>
      </c>
      <c r="N336">
        <v>85623</v>
      </c>
      <c r="O336" t="s">
        <v>16</v>
      </c>
      <c r="P336" t="s">
        <v>17</v>
      </c>
    </row>
    <row r="337" spans="1:16" x14ac:dyDescent="0.3">
      <c r="A337" t="s">
        <v>795</v>
      </c>
      <c r="B337" t="str">
        <f>CONCATENATE(Table1[[#This Row],[First Name]]," ",Table1[[#This Row],[Last Name]])</f>
        <v>Victoria James</v>
      </c>
      <c r="C337" t="s">
        <v>796</v>
      </c>
      <c r="D337" t="s">
        <v>232</v>
      </c>
      <c r="E337" t="s">
        <v>44</v>
      </c>
      <c r="F337">
        <f t="shared" si="21"/>
        <v>45</v>
      </c>
      <c r="G337">
        <v>45</v>
      </c>
      <c r="H337" t="str">
        <f t="shared" si="22"/>
        <v>Male</v>
      </c>
      <c r="I337" t="s">
        <v>59</v>
      </c>
      <c r="J337">
        <f t="shared" si="23"/>
        <v>498449</v>
      </c>
      <c r="K337">
        <v>498449</v>
      </c>
      <c r="L337">
        <f t="shared" si="24"/>
        <v>8916</v>
      </c>
      <c r="M337">
        <v>8916</v>
      </c>
      <c r="N337">
        <v>16561</v>
      </c>
      <c r="O337" t="s">
        <v>23</v>
      </c>
      <c r="P337" t="s">
        <v>24</v>
      </c>
    </row>
    <row r="338" spans="1:16" x14ac:dyDescent="0.3">
      <c r="A338" t="s">
        <v>797</v>
      </c>
      <c r="B338" t="str">
        <f>CONCATENATE(Table1[[#This Row],[First Name]]," ",Table1[[#This Row],[Last Name]])</f>
        <v>Brandon Woodard</v>
      </c>
      <c r="C338" t="s">
        <v>640</v>
      </c>
      <c r="D338" t="s">
        <v>798</v>
      </c>
      <c r="E338" t="s">
        <v>58</v>
      </c>
      <c r="F338">
        <f t="shared" si="21"/>
        <v>32</v>
      </c>
      <c r="G338">
        <v>32</v>
      </c>
      <c r="H338" t="str">
        <f t="shared" si="22"/>
        <v>Male</v>
      </c>
      <c r="I338" t="s">
        <v>59</v>
      </c>
      <c r="J338" s="2">
        <f t="shared" si="23"/>
        <v>252076.51219512196</v>
      </c>
      <c r="L338">
        <f t="shared" si="24"/>
        <v>17147</v>
      </c>
      <c r="M338">
        <v>17147</v>
      </c>
      <c r="N338">
        <v>126727</v>
      </c>
      <c r="O338" t="s">
        <v>16</v>
      </c>
      <c r="P338" t="s">
        <v>17</v>
      </c>
    </row>
    <row r="339" spans="1:16" x14ac:dyDescent="0.3">
      <c r="A339" t="s">
        <v>799</v>
      </c>
      <c r="B339" t="str">
        <f>CONCATENATE(Table1[[#This Row],[First Name]]," ",Table1[[#This Row],[Last Name]])</f>
        <v>Margaret Bennett</v>
      </c>
      <c r="C339" t="s">
        <v>800</v>
      </c>
      <c r="D339" t="s">
        <v>801</v>
      </c>
      <c r="E339" t="s">
        <v>44</v>
      </c>
      <c r="F339">
        <f t="shared" si="21"/>
        <v>31</v>
      </c>
      <c r="G339">
        <v>31</v>
      </c>
      <c r="H339" t="str">
        <f t="shared" si="22"/>
        <v>Male</v>
      </c>
      <c r="I339" t="s">
        <v>59</v>
      </c>
      <c r="J339">
        <f t="shared" si="23"/>
        <v>4732</v>
      </c>
      <c r="K339">
        <v>4732</v>
      </c>
      <c r="L339">
        <f t="shared" si="24"/>
        <v>240273</v>
      </c>
      <c r="M339">
        <v>240273</v>
      </c>
      <c r="N339">
        <v>104443</v>
      </c>
      <c r="O339" t="s">
        <v>23</v>
      </c>
      <c r="P339" t="s">
        <v>17</v>
      </c>
    </row>
    <row r="340" spans="1:16" x14ac:dyDescent="0.3">
      <c r="A340" t="s">
        <v>802</v>
      </c>
      <c r="B340" t="str">
        <f>CONCATENATE(Table1[[#This Row],[First Name]]," ",Table1[[#This Row],[Last Name]])</f>
        <v>Scott Lambert</v>
      </c>
      <c r="C340" t="s">
        <v>127</v>
      </c>
      <c r="D340" t="s">
        <v>803</v>
      </c>
      <c r="E340" t="s">
        <v>14</v>
      </c>
      <c r="F340">
        <f t="shared" si="21"/>
        <v>24</v>
      </c>
      <c r="G340">
        <v>24</v>
      </c>
      <c r="H340" t="str">
        <f t="shared" si="22"/>
        <v>Male</v>
      </c>
      <c r="I340" t="s">
        <v>59</v>
      </c>
      <c r="J340">
        <f t="shared" si="23"/>
        <v>8059</v>
      </c>
      <c r="K340">
        <v>8059</v>
      </c>
      <c r="L340">
        <f t="shared" si="24"/>
        <v>225947</v>
      </c>
      <c r="M340">
        <v>225947</v>
      </c>
      <c r="N340">
        <v>49929</v>
      </c>
      <c r="O340" t="s">
        <v>33</v>
      </c>
      <c r="P340" t="s">
        <v>17</v>
      </c>
    </row>
    <row r="341" spans="1:16" x14ac:dyDescent="0.3">
      <c r="A341" t="s">
        <v>804</v>
      </c>
      <c r="B341" t="str">
        <f>CONCATENATE(Table1[[#This Row],[First Name]]," ",Table1[[#This Row],[Last Name]])</f>
        <v>Paul Baldwin</v>
      </c>
      <c r="C341" t="s">
        <v>375</v>
      </c>
      <c r="D341" t="s">
        <v>805</v>
      </c>
      <c r="E341" t="s">
        <v>14</v>
      </c>
      <c r="F341">
        <f t="shared" si="21"/>
        <v>59</v>
      </c>
      <c r="G341">
        <v>59</v>
      </c>
      <c r="H341" t="str">
        <f t="shared" si="22"/>
        <v>Male</v>
      </c>
      <c r="I341" t="s">
        <v>59</v>
      </c>
      <c r="J341">
        <f t="shared" si="23"/>
        <v>172506</v>
      </c>
      <c r="K341">
        <v>172506</v>
      </c>
      <c r="L341">
        <f t="shared" si="24"/>
        <v>16556</v>
      </c>
      <c r="M341">
        <v>16556</v>
      </c>
      <c r="N341">
        <v>122532</v>
      </c>
      <c r="O341" t="s">
        <v>16</v>
      </c>
      <c r="P341" t="s">
        <v>17</v>
      </c>
    </row>
    <row r="342" spans="1:16" x14ac:dyDescent="0.3">
      <c r="A342" t="s">
        <v>806</v>
      </c>
      <c r="B342" t="str">
        <f>CONCATENATE(Table1[[#This Row],[First Name]]," ",Table1[[#This Row],[Last Name]])</f>
        <v>Megan Jackson</v>
      </c>
      <c r="C342" t="s">
        <v>340</v>
      </c>
      <c r="D342" t="s">
        <v>807</v>
      </c>
      <c r="E342" t="s">
        <v>44</v>
      </c>
      <c r="F342">
        <f t="shared" si="21"/>
        <v>24</v>
      </c>
      <c r="G342">
        <v>24</v>
      </c>
      <c r="H342" t="str">
        <f t="shared" si="22"/>
        <v>Male</v>
      </c>
      <c r="I342" t="s">
        <v>59</v>
      </c>
      <c r="J342">
        <f t="shared" si="23"/>
        <v>378948</v>
      </c>
      <c r="K342">
        <v>378948</v>
      </c>
      <c r="L342">
        <f t="shared" si="24"/>
        <v>170870</v>
      </c>
      <c r="M342">
        <v>170870</v>
      </c>
      <c r="N342">
        <v>61035</v>
      </c>
      <c r="O342" t="s">
        <v>33</v>
      </c>
      <c r="P342" t="s">
        <v>17</v>
      </c>
    </row>
    <row r="343" spans="1:16" x14ac:dyDescent="0.3">
      <c r="A343" t="s">
        <v>808</v>
      </c>
      <c r="B343" t="str">
        <f>CONCATENATE(Table1[[#This Row],[First Name]]," ",Table1[[#This Row],[Last Name]])</f>
        <v>Jeremy Baldwin</v>
      </c>
      <c r="C343" t="s">
        <v>809</v>
      </c>
      <c r="D343" t="s">
        <v>805</v>
      </c>
      <c r="E343" t="s">
        <v>48</v>
      </c>
      <c r="F343">
        <f t="shared" si="21"/>
        <v>49</v>
      </c>
      <c r="G343">
        <v>49</v>
      </c>
      <c r="H343" t="str">
        <f t="shared" si="22"/>
        <v>Unknown</v>
      </c>
      <c r="J343">
        <f t="shared" si="23"/>
        <v>41359</v>
      </c>
      <c r="K343">
        <v>41359</v>
      </c>
      <c r="L343">
        <f t="shared" si="24"/>
        <v>85198</v>
      </c>
      <c r="M343">
        <v>85198</v>
      </c>
      <c r="N343">
        <v>70505</v>
      </c>
      <c r="O343" t="s">
        <v>16</v>
      </c>
      <c r="P343" t="s">
        <v>17</v>
      </c>
    </row>
    <row r="344" spans="1:16" x14ac:dyDescent="0.3">
      <c r="A344" t="s">
        <v>810</v>
      </c>
      <c r="B344" t="str">
        <f>CONCATENATE(Table1[[#This Row],[First Name]]," ",Table1[[#This Row],[Last Name]])</f>
        <v>Veronica Shelton</v>
      </c>
      <c r="C344" t="s">
        <v>538</v>
      </c>
      <c r="D344" t="s">
        <v>811</v>
      </c>
      <c r="E344" t="s">
        <v>44</v>
      </c>
      <c r="F344">
        <f t="shared" si="21"/>
        <v>59</v>
      </c>
      <c r="G344">
        <v>59</v>
      </c>
      <c r="H344" t="str">
        <f t="shared" si="22"/>
        <v>Male</v>
      </c>
      <c r="I344" t="s">
        <v>59</v>
      </c>
      <c r="J344">
        <f t="shared" si="23"/>
        <v>375375</v>
      </c>
      <c r="K344">
        <v>375375</v>
      </c>
      <c r="L344">
        <f t="shared" si="24"/>
        <v>174756</v>
      </c>
      <c r="M344">
        <v>174756</v>
      </c>
      <c r="N344">
        <v>81729</v>
      </c>
      <c r="O344" t="s">
        <v>23</v>
      </c>
      <c r="P344" t="s">
        <v>17</v>
      </c>
    </row>
    <row r="345" spans="1:16" x14ac:dyDescent="0.3">
      <c r="A345" t="s">
        <v>812</v>
      </c>
      <c r="B345" t="str">
        <f>CONCATENATE(Table1[[#This Row],[First Name]]," ",Table1[[#This Row],[Last Name]])</f>
        <v>Debra Weaver</v>
      </c>
      <c r="C345" t="s">
        <v>510</v>
      </c>
      <c r="D345" t="s">
        <v>365</v>
      </c>
      <c r="E345" t="s">
        <v>58</v>
      </c>
      <c r="F345">
        <f t="shared" si="21"/>
        <v>50</v>
      </c>
      <c r="G345">
        <v>50</v>
      </c>
      <c r="H345" t="str">
        <f t="shared" si="22"/>
        <v>Female</v>
      </c>
      <c r="I345" t="s">
        <v>22</v>
      </c>
      <c r="J345">
        <f t="shared" si="23"/>
        <v>336760</v>
      </c>
      <c r="K345">
        <v>336760</v>
      </c>
      <c r="L345">
        <f t="shared" si="24"/>
        <v>126805</v>
      </c>
      <c r="M345">
        <v>126805</v>
      </c>
      <c r="N345">
        <v>32209</v>
      </c>
      <c r="O345" t="s">
        <v>23</v>
      </c>
      <c r="P345" t="s">
        <v>17</v>
      </c>
    </row>
    <row r="346" spans="1:16" x14ac:dyDescent="0.3">
      <c r="A346" t="s">
        <v>813</v>
      </c>
      <c r="B346" t="str">
        <f>CONCATENATE(Table1[[#This Row],[First Name]]," ",Table1[[#This Row],[Last Name]])</f>
        <v>William Lawrence</v>
      </c>
      <c r="C346" t="s">
        <v>135</v>
      </c>
      <c r="D346" t="s">
        <v>580</v>
      </c>
      <c r="E346" t="s">
        <v>58</v>
      </c>
      <c r="F346">
        <f t="shared" si="21"/>
        <v>55</v>
      </c>
      <c r="G346">
        <v>55</v>
      </c>
      <c r="H346" t="str">
        <f t="shared" si="22"/>
        <v>Male</v>
      </c>
      <c r="I346" t="s">
        <v>59</v>
      </c>
      <c r="J346">
        <f t="shared" si="23"/>
        <v>320319</v>
      </c>
      <c r="K346">
        <v>320319</v>
      </c>
      <c r="L346">
        <f t="shared" si="24"/>
        <v>40592</v>
      </c>
      <c r="M346">
        <v>40592</v>
      </c>
      <c r="N346">
        <v>115131</v>
      </c>
      <c r="O346" t="s">
        <v>33</v>
      </c>
      <c r="P346" t="s">
        <v>17</v>
      </c>
    </row>
    <row r="347" spans="1:16" x14ac:dyDescent="0.3">
      <c r="A347" t="s">
        <v>814</v>
      </c>
      <c r="B347" t="str">
        <f>CONCATENATE(Table1[[#This Row],[First Name]]," ",Table1[[#This Row],[Last Name]])</f>
        <v>Kayla Mcconnell</v>
      </c>
      <c r="C347" t="s">
        <v>815</v>
      </c>
      <c r="D347" t="s">
        <v>816</v>
      </c>
      <c r="E347" t="s">
        <v>48</v>
      </c>
      <c r="F347">
        <f t="shared" si="21"/>
        <v>56</v>
      </c>
      <c r="G347">
        <v>56</v>
      </c>
      <c r="H347" t="str">
        <f t="shared" si="22"/>
        <v>Male</v>
      </c>
      <c r="I347" t="s">
        <v>59</v>
      </c>
      <c r="J347">
        <f t="shared" si="23"/>
        <v>62048</v>
      </c>
      <c r="K347">
        <v>62048</v>
      </c>
      <c r="L347">
        <f t="shared" si="24"/>
        <v>240071</v>
      </c>
      <c r="M347">
        <v>240071</v>
      </c>
      <c r="N347">
        <v>16656</v>
      </c>
      <c r="O347" t="s">
        <v>33</v>
      </c>
      <c r="P347" t="s">
        <v>24</v>
      </c>
    </row>
    <row r="348" spans="1:16" x14ac:dyDescent="0.3">
      <c r="A348" t="s">
        <v>817</v>
      </c>
      <c r="B348" t="str">
        <f>CONCATENATE(Table1[[#This Row],[First Name]]," ",Table1[[#This Row],[Last Name]])</f>
        <v>Robin Miranda</v>
      </c>
      <c r="C348" t="s">
        <v>818</v>
      </c>
      <c r="D348" t="s">
        <v>819</v>
      </c>
      <c r="E348" t="s">
        <v>58</v>
      </c>
      <c r="F348">
        <f t="shared" si="21"/>
        <v>34</v>
      </c>
      <c r="G348">
        <v>34</v>
      </c>
      <c r="H348" t="str">
        <f t="shared" si="22"/>
        <v>Male</v>
      </c>
      <c r="I348" t="s">
        <v>59</v>
      </c>
      <c r="J348">
        <f t="shared" si="23"/>
        <v>131492</v>
      </c>
      <c r="K348">
        <v>131492</v>
      </c>
      <c r="L348">
        <f t="shared" si="24"/>
        <v>202927</v>
      </c>
      <c r="M348">
        <v>202927</v>
      </c>
      <c r="N348">
        <v>60858</v>
      </c>
      <c r="O348" t="s">
        <v>16</v>
      </c>
      <c r="P348" t="s">
        <v>24</v>
      </c>
    </row>
    <row r="349" spans="1:16" x14ac:dyDescent="0.3">
      <c r="A349" t="s">
        <v>820</v>
      </c>
      <c r="B349" t="str">
        <f>CONCATENATE(Table1[[#This Row],[First Name]]," ",Table1[[#This Row],[Last Name]])</f>
        <v>Zachary Martinez</v>
      </c>
      <c r="C349" t="s">
        <v>821</v>
      </c>
      <c r="D349" t="s">
        <v>447</v>
      </c>
      <c r="E349" t="s">
        <v>21</v>
      </c>
      <c r="F349">
        <f t="shared" si="21"/>
        <v>52</v>
      </c>
      <c r="G349">
        <v>52</v>
      </c>
      <c r="H349" t="str">
        <f t="shared" si="22"/>
        <v>Unknown</v>
      </c>
      <c r="J349">
        <f t="shared" si="23"/>
        <v>219681</v>
      </c>
      <c r="K349">
        <v>219681</v>
      </c>
      <c r="L349">
        <f t="shared" si="24"/>
        <v>217472</v>
      </c>
      <c r="M349">
        <v>217472</v>
      </c>
      <c r="N349">
        <v>147457</v>
      </c>
      <c r="O349" t="s">
        <v>16</v>
      </c>
      <c r="P349" t="s">
        <v>24</v>
      </c>
    </row>
    <row r="350" spans="1:16" x14ac:dyDescent="0.3">
      <c r="A350" t="s">
        <v>822</v>
      </c>
      <c r="B350" t="str">
        <f>CONCATENATE(Table1[[#This Row],[First Name]]," ",Table1[[#This Row],[Last Name]])</f>
        <v>Denise Henderson</v>
      </c>
      <c r="C350" t="s">
        <v>150</v>
      </c>
      <c r="D350" t="s">
        <v>823</v>
      </c>
      <c r="E350" t="s">
        <v>21</v>
      </c>
      <c r="F350">
        <f t="shared" si="21"/>
        <v>33</v>
      </c>
      <c r="G350">
        <v>33</v>
      </c>
      <c r="H350" t="str">
        <f t="shared" si="22"/>
        <v>Female</v>
      </c>
      <c r="I350" t="s">
        <v>22</v>
      </c>
      <c r="J350">
        <f t="shared" si="23"/>
        <v>174752</v>
      </c>
      <c r="K350">
        <v>174752</v>
      </c>
      <c r="L350">
        <f t="shared" si="24"/>
        <v>53222</v>
      </c>
      <c r="M350">
        <v>53222</v>
      </c>
      <c r="N350">
        <v>75892</v>
      </c>
      <c r="O350" t="s">
        <v>33</v>
      </c>
      <c r="P350" t="s">
        <v>17</v>
      </c>
    </row>
    <row r="351" spans="1:16" x14ac:dyDescent="0.3">
      <c r="A351" t="s">
        <v>824</v>
      </c>
      <c r="B351" t="str">
        <f>CONCATENATE(Table1[[#This Row],[First Name]]," ",Table1[[#This Row],[Last Name]])</f>
        <v>Linda Gould</v>
      </c>
      <c r="C351" t="s">
        <v>825</v>
      </c>
      <c r="D351" t="s">
        <v>826</v>
      </c>
      <c r="E351" t="s">
        <v>21</v>
      </c>
      <c r="F351">
        <f t="shared" si="21"/>
        <v>37</v>
      </c>
      <c r="G351">
        <v>37</v>
      </c>
      <c r="H351" t="str">
        <f t="shared" si="22"/>
        <v>Female</v>
      </c>
      <c r="I351" t="s">
        <v>22</v>
      </c>
      <c r="J351">
        <f t="shared" si="23"/>
        <v>192495</v>
      </c>
      <c r="K351">
        <v>192495</v>
      </c>
      <c r="L351">
        <f t="shared" si="24"/>
        <v>48295</v>
      </c>
      <c r="M351">
        <v>48295</v>
      </c>
      <c r="N351">
        <v>106034</v>
      </c>
      <c r="O351" t="s">
        <v>33</v>
      </c>
      <c r="P351" t="s">
        <v>17</v>
      </c>
    </row>
    <row r="352" spans="1:16" x14ac:dyDescent="0.3">
      <c r="A352" t="s">
        <v>827</v>
      </c>
      <c r="B352" t="str">
        <f>CONCATENATE(Table1[[#This Row],[First Name]]," ",Table1[[#This Row],[Last Name]])</f>
        <v>Jessica Johnson</v>
      </c>
      <c r="C352" t="s">
        <v>369</v>
      </c>
      <c r="D352" t="s">
        <v>174</v>
      </c>
      <c r="E352" t="s">
        <v>21</v>
      </c>
      <c r="F352">
        <f t="shared" si="21"/>
        <v>55</v>
      </c>
      <c r="G352">
        <v>55</v>
      </c>
      <c r="H352" t="str">
        <f t="shared" si="22"/>
        <v>Male</v>
      </c>
      <c r="I352" t="s">
        <v>59</v>
      </c>
      <c r="J352">
        <f t="shared" si="23"/>
        <v>336350</v>
      </c>
      <c r="K352">
        <v>336350</v>
      </c>
      <c r="L352">
        <f t="shared" si="24"/>
        <v>18182</v>
      </c>
      <c r="M352">
        <v>18182</v>
      </c>
      <c r="N352">
        <v>113090</v>
      </c>
      <c r="O352" t="s">
        <v>23</v>
      </c>
      <c r="P352" t="s">
        <v>24</v>
      </c>
    </row>
    <row r="353" spans="1:16" x14ac:dyDescent="0.3">
      <c r="A353" t="s">
        <v>828</v>
      </c>
      <c r="B353" t="str">
        <f>CONCATENATE(Table1[[#This Row],[First Name]]," ",Table1[[#This Row],[Last Name]])</f>
        <v>Rachel Bauer</v>
      </c>
      <c r="C353" t="s">
        <v>829</v>
      </c>
      <c r="D353" t="s">
        <v>830</v>
      </c>
      <c r="E353" t="s">
        <v>44</v>
      </c>
      <c r="F353">
        <f t="shared" si="21"/>
        <v>30</v>
      </c>
      <c r="G353">
        <v>30</v>
      </c>
      <c r="H353" t="str">
        <f t="shared" si="22"/>
        <v>Female</v>
      </c>
      <c r="I353" t="s">
        <v>22</v>
      </c>
      <c r="J353">
        <f t="shared" si="23"/>
        <v>232334</v>
      </c>
      <c r="K353">
        <v>232334</v>
      </c>
      <c r="L353">
        <f t="shared" si="24"/>
        <v>192846</v>
      </c>
      <c r="M353">
        <v>192846</v>
      </c>
      <c r="N353">
        <v>107785</v>
      </c>
      <c r="O353" t="s">
        <v>16</v>
      </c>
      <c r="P353" t="s">
        <v>24</v>
      </c>
    </row>
    <row r="354" spans="1:16" x14ac:dyDescent="0.3">
      <c r="A354" t="s">
        <v>831</v>
      </c>
      <c r="B354" t="str">
        <f>CONCATENATE(Table1[[#This Row],[First Name]]," ",Table1[[#This Row],[Last Name]])</f>
        <v>Michele Moss</v>
      </c>
      <c r="C354" t="s">
        <v>696</v>
      </c>
      <c r="D354" t="s">
        <v>832</v>
      </c>
      <c r="E354" t="s">
        <v>44</v>
      </c>
      <c r="F354">
        <f t="shared" si="21"/>
        <v>49</v>
      </c>
      <c r="G354">
        <v>49</v>
      </c>
      <c r="H354" t="str">
        <f t="shared" si="22"/>
        <v>Female</v>
      </c>
      <c r="I354" t="s">
        <v>22</v>
      </c>
      <c r="J354">
        <f t="shared" si="23"/>
        <v>321848</v>
      </c>
      <c r="K354">
        <v>321848</v>
      </c>
      <c r="L354">
        <f t="shared" si="24"/>
        <v>278204</v>
      </c>
      <c r="M354">
        <v>278204</v>
      </c>
      <c r="N354">
        <v>51310</v>
      </c>
      <c r="O354" t="s">
        <v>16</v>
      </c>
      <c r="P354" t="s">
        <v>17</v>
      </c>
    </row>
    <row r="355" spans="1:16" x14ac:dyDescent="0.3">
      <c r="A355" t="s">
        <v>833</v>
      </c>
      <c r="B355" t="str">
        <f>CONCATENATE(Table1[[#This Row],[First Name]]," ",Table1[[#This Row],[Last Name]])</f>
        <v>William Blackwell</v>
      </c>
      <c r="C355" t="s">
        <v>135</v>
      </c>
      <c r="D355" t="s">
        <v>834</v>
      </c>
      <c r="E355" t="s">
        <v>14</v>
      </c>
      <c r="F355">
        <f t="shared" si="21"/>
        <v>58</v>
      </c>
      <c r="G355">
        <v>58</v>
      </c>
      <c r="H355" t="str">
        <f t="shared" si="22"/>
        <v>Unknown</v>
      </c>
      <c r="J355">
        <f t="shared" si="23"/>
        <v>436251</v>
      </c>
      <c r="K355">
        <v>436251</v>
      </c>
      <c r="L355">
        <f t="shared" si="24"/>
        <v>266972</v>
      </c>
      <c r="M355">
        <v>266972</v>
      </c>
      <c r="N355">
        <v>75556</v>
      </c>
      <c r="O355" t="s">
        <v>23</v>
      </c>
      <c r="P355" t="s">
        <v>24</v>
      </c>
    </row>
    <row r="356" spans="1:16" x14ac:dyDescent="0.3">
      <c r="A356" t="s">
        <v>835</v>
      </c>
      <c r="B356" t="str">
        <f>CONCATENATE(Table1[[#This Row],[First Name]]," ",Table1[[#This Row],[Last Name]])</f>
        <v>Antonio Underwood</v>
      </c>
      <c r="C356" t="s">
        <v>836</v>
      </c>
      <c r="D356" t="s">
        <v>837</v>
      </c>
      <c r="E356" t="s">
        <v>44</v>
      </c>
      <c r="F356">
        <f t="shared" si="21"/>
        <v>35</v>
      </c>
      <c r="G356">
        <v>35</v>
      </c>
      <c r="H356" t="str">
        <f t="shared" si="22"/>
        <v>Female</v>
      </c>
      <c r="I356" t="s">
        <v>22</v>
      </c>
      <c r="J356">
        <f t="shared" si="23"/>
        <v>214107</v>
      </c>
      <c r="K356">
        <v>214107</v>
      </c>
      <c r="L356">
        <f t="shared" si="24"/>
        <v>149662</v>
      </c>
      <c r="M356">
        <v>149662</v>
      </c>
      <c r="N356">
        <v>108410</v>
      </c>
      <c r="O356" t="s">
        <v>23</v>
      </c>
      <c r="P356" t="s">
        <v>17</v>
      </c>
    </row>
    <row r="357" spans="1:16" x14ac:dyDescent="0.3">
      <c r="A357" t="s">
        <v>838</v>
      </c>
      <c r="B357" t="str">
        <f>CONCATENATE(Table1[[#This Row],[First Name]]," ",Table1[[#This Row],[Last Name]])</f>
        <v>Gerald Gonzalez</v>
      </c>
      <c r="C357" t="s">
        <v>839</v>
      </c>
      <c r="D357" t="s">
        <v>157</v>
      </c>
      <c r="E357" t="s">
        <v>21</v>
      </c>
      <c r="F357" s="2">
        <f t="shared" si="21"/>
        <v>39.868583162217661</v>
      </c>
      <c r="H357" t="str">
        <f t="shared" si="22"/>
        <v>Female</v>
      </c>
      <c r="I357" t="s">
        <v>22</v>
      </c>
      <c r="J357">
        <f t="shared" si="23"/>
        <v>278509</v>
      </c>
      <c r="K357">
        <v>278509</v>
      </c>
      <c r="L357">
        <f t="shared" si="24"/>
        <v>72745</v>
      </c>
      <c r="M357">
        <v>72745</v>
      </c>
      <c r="N357">
        <v>45862</v>
      </c>
      <c r="O357" t="s">
        <v>16</v>
      </c>
      <c r="P357" t="s">
        <v>24</v>
      </c>
    </row>
    <row r="358" spans="1:16" x14ac:dyDescent="0.3">
      <c r="A358" t="s">
        <v>840</v>
      </c>
      <c r="B358" t="str">
        <f>CONCATENATE(Table1[[#This Row],[First Name]]," ",Table1[[#This Row],[Last Name]])</f>
        <v>Garrett Guerra</v>
      </c>
      <c r="C358" t="s">
        <v>532</v>
      </c>
      <c r="D358" t="s">
        <v>841</v>
      </c>
      <c r="E358" t="s">
        <v>48</v>
      </c>
      <c r="F358">
        <f t="shared" si="21"/>
        <v>48</v>
      </c>
      <c r="G358">
        <v>48</v>
      </c>
      <c r="H358" t="str">
        <f t="shared" si="22"/>
        <v>Female</v>
      </c>
      <c r="I358" t="s">
        <v>22</v>
      </c>
      <c r="J358">
        <f t="shared" si="23"/>
        <v>57117</v>
      </c>
      <c r="K358">
        <v>57117</v>
      </c>
      <c r="L358">
        <f t="shared" si="24"/>
        <v>53915</v>
      </c>
      <c r="M358">
        <v>53915</v>
      </c>
      <c r="N358">
        <v>117766</v>
      </c>
      <c r="O358" t="s">
        <v>33</v>
      </c>
      <c r="P358" t="s">
        <v>17</v>
      </c>
    </row>
    <row r="359" spans="1:16" x14ac:dyDescent="0.3">
      <c r="A359" t="s">
        <v>842</v>
      </c>
      <c r="B359" t="str">
        <f>CONCATENATE(Table1[[#This Row],[First Name]]," ",Table1[[#This Row],[Last Name]])</f>
        <v>John Garcia</v>
      </c>
      <c r="C359" t="s">
        <v>80</v>
      </c>
      <c r="D359" t="s">
        <v>86</v>
      </c>
      <c r="E359" t="s">
        <v>21</v>
      </c>
      <c r="F359">
        <f t="shared" si="21"/>
        <v>43</v>
      </c>
      <c r="G359">
        <v>43</v>
      </c>
      <c r="H359" t="str">
        <f t="shared" si="22"/>
        <v>Male</v>
      </c>
      <c r="I359" t="s">
        <v>59</v>
      </c>
      <c r="J359">
        <f t="shared" si="23"/>
        <v>396455</v>
      </c>
      <c r="K359">
        <v>396455</v>
      </c>
      <c r="L359">
        <f t="shared" si="24"/>
        <v>93598</v>
      </c>
      <c r="M359">
        <v>93598</v>
      </c>
      <c r="N359">
        <v>65578</v>
      </c>
      <c r="O359" t="s">
        <v>23</v>
      </c>
      <c r="P359" t="s">
        <v>24</v>
      </c>
    </row>
    <row r="360" spans="1:16" x14ac:dyDescent="0.3">
      <c r="A360" t="s">
        <v>843</v>
      </c>
      <c r="B360" t="str">
        <f>CONCATENATE(Table1[[#This Row],[First Name]]," ",Table1[[#This Row],[Last Name]])</f>
        <v>Jeffrey Mathews</v>
      </c>
      <c r="C360" t="s">
        <v>506</v>
      </c>
      <c r="D360" t="s">
        <v>844</v>
      </c>
      <c r="E360" t="s">
        <v>44</v>
      </c>
      <c r="F360">
        <f t="shared" si="21"/>
        <v>47</v>
      </c>
      <c r="G360">
        <v>47</v>
      </c>
      <c r="H360" t="str">
        <f t="shared" si="22"/>
        <v>Unknown</v>
      </c>
      <c r="J360">
        <f t="shared" si="23"/>
        <v>90614</v>
      </c>
      <c r="K360">
        <v>90614</v>
      </c>
      <c r="L360">
        <f t="shared" si="24"/>
        <v>189968</v>
      </c>
      <c r="M360">
        <v>189968</v>
      </c>
      <c r="N360">
        <v>92863</v>
      </c>
      <c r="O360" t="s">
        <v>16</v>
      </c>
      <c r="P360" t="s">
        <v>17</v>
      </c>
    </row>
    <row r="361" spans="1:16" x14ac:dyDescent="0.3">
      <c r="A361" t="s">
        <v>845</v>
      </c>
      <c r="B361" t="str">
        <f>CONCATENATE(Table1[[#This Row],[First Name]]," ",Table1[[#This Row],[Last Name]])</f>
        <v>Samantha Banks</v>
      </c>
      <c r="C361" t="s">
        <v>750</v>
      </c>
      <c r="D361" t="s">
        <v>846</v>
      </c>
      <c r="E361" t="s">
        <v>14</v>
      </c>
      <c r="F361">
        <f t="shared" si="21"/>
        <v>21</v>
      </c>
      <c r="G361">
        <v>21</v>
      </c>
      <c r="H361" t="str">
        <f t="shared" si="22"/>
        <v>Female</v>
      </c>
      <c r="I361" t="s">
        <v>22</v>
      </c>
      <c r="J361">
        <f t="shared" si="23"/>
        <v>111730</v>
      </c>
      <c r="K361">
        <v>111730</v>
      </c>
      <c r="L361">
        <f t="shared" si="24"/>
        <v>155929</v>
      </c>
      <c r="M361">
        <v>155929</v>
      </c>
      <c r="N361">
        <v>112465</v>
      </c>
      <c r="O361" t="s">
        <v>33</v>
      </c>
      <c r="P361" t="s">
        <v>17</v>
      </c>
    </row>
    <row r="362" spans="1:16" x14ac:dyDescent="0.3">
      <c r="A362" t="s">
        <v>847</v>
      </c>
      <c r="B362" t="str">
        <f>CONCATENATE(Table1[[#This Row],[First Name]]," ",Table1[[#This Row],[Last Name]])</f>
        <v>Kaitlin Romero</v>
      </c>
      <c r="C362" t="s">
        <v>848</v>
      </c>
      <c r="D362" t="s">
        <v>849</v>
      </c>
      <c r="E362" t="s">
        <v>44</v>
      </c>
      <c r="F362">
        <f t="shared" si="21"/>
        <v>30</v>
      </c>
      <c r="G362">
        <v>30</v>
      </c>
      <c r="H362" t="str">
        <f t="shared" si="22"/>
        <v>Male</v>
      </c>
      <c r="I362" t="s">
        <v>59</v>
      </c>
      <c r="J362">
        <f t="shared" si="23"/>
        <v>44023</v>
      </c>
      <c r="K362">
        <v>44023</v>
      </c>
      <c r="L362">
        <f t="shared" si="24"/>
        <v>47631</v>
      </c>
      <c r="M362">
        <v>47631</v>
      </c>
      <c r="N362">
        <v>32958</v>
      </c>
      <c r="O362" t="s">
        <v>33</v>
      </c>
      <c r="P362" t="s">
        <v>24</v>
      </c>
    </row>
    <row r="363" spans="1:16" x14ac:dyDescent="0.3">
      <c r="A363" t="s">
        <v>850</v>
      </c>
      <c r="B363" t="str">
        <f>CONCATENATE(Table1[[#This Row],[First Name]]," ",Table1[[#This Row],[Last Name]])</f>
        <v>Brad Davis</v>
      </c>
      <c r="C363" t="s">
        <v>851</v>
      </c>
      <c r="D363" t="s">
        <v>585</v>
      </c>
      <c r="E363" t="s">
        <v>48</v>
      </c>
      <c r="F363">
        <f t="shared" si="21"/>
        <v>42</v>
      </c>
      <c r="G363">
        <v>42</v>
      </c>
      <c r="H363" t="str">
        <f t="shared" si="22"/>
        <v>Male</v>
      </c>
      <c r="I363" t="s">
        <v>59</v>
      </c>
      <c r="J363" s="2">
        <f t="shared" si="23"/>
        <v>252076.51219512196</v>
      </c>
      <c r="L363" s="2">
        <f t="shared" si="24"/>
        <v>124211.14285714286</v>
      </c>
      <c r="N363">
        <v>48171</v>
      </c>
      <c r="O363" t="s">
        <v>23</v>
      </c>
      <c r="P363" t="s">
        <v>17</v>
      </c>
    </row>
    <row r="364" spans="1:16" x14ac:dyDescent="0.3">
      <c r="A364" t="s">
        <v>852</v>
      </c>
      <c r="B364" t="str">
        <f>CONCATENATE(Table1[[#This Row],[First Name]]," ",Table1[[#This Row],[Last Name]])</f>
        <v>Crystal Foster</v>
      </c>
      <c r="C364" t="s">
        <v>255</v>
      </c>
      <c r="D364" t="s">
        <v>853</v>
      </c>
      <c r="E364" t="s">
        <v>48</v>
      </c>
      <c r="F364">
        <f t="shared" si="21"/>
        <v>57</v>
      </c>
      <c r="G364">
        <v>57</v>
      </c>
      <c r="H364" t="str">
        <f t="shared" si="22"/>
        <v>Unknown</v>
      </c>
      <c r="J364">
        <f t="shared" si="23"/>
        <v>44348</v>
      </c>
      <c r="K364">
        <v>44348</v>
      </c>
      <c r="L364">
        <f t="shared" si="24"/>
        <v>68666</v>
      </c>
      <c r="M364">
        <v>68666</v>
      </c>
      <c r="N364">
        <v>37097</v>
      </c>
      <c r="O364" t="s">
        <v>16</v>
      </c>
      <c r="P364" t="s">
        <v>17</v>
      </c>
    </row>
    <row r="365" spans="1:16" x14ac:dyDescent="0.3">
      <c r="A365" t="s">
        <v>854</v>
      </c>
      <c r="B365" t="str">
        <f>CONCATENATE(Table1[[#This Row],[First Name]]," ",Table1[[#This Row],[Last Name]])</f>
        <v>Amanda Mays</v>
      </c>
      <c r="C365" t="s">
        <v>156</v>
      </c>
      <c r="D365" t="s">
        <v>855</v>
      </c>
      <c r="E365" t="s">
        <v>21</v>
      </c>
      <c r="F365">
        <f t="shared" si="21"/>
        <v>43</v>
      </c>
      <c r="G365">
        <v>43</v>
      </c>
      <c r="H365" t="str">
        <f t="shared" si="22"/>
        <v>Unknown</v>
      </c>
      <c r="J365">
        <f t="shared" si="23"/>
        <v>466548</v>
      </c>
      <c r="K365">
        <v>466548</v>
      </c>
      <c r="L365">
        <f t="shared" si="24"/>
        <v>22733</v>
      </c>
      <c r="M365">
        <v>22733</v>
      </c>
      <c r="N365">
        <v>34409</v>
      </c>
      <c r="O365" t="s">
        <v>16</v>
      </c>
      <c r="P365" t="s">
        <v>17</v>
      </c>
    </row>
    <row r="366" spans="1:16" x14ac:dyDescent="0.3">
      <c r="A366" t="s">
        <v>856</v>
      </c>
      <c r="B366" t="str">
        <f>CONCATENATE(Table1[[#This Row],[First Name]]," ",Table1[[#This Row],[Last Name]])</f>
        <v>Tonya Miller</v>
      </c>
      <c r="C366" t="s">
        <v>857</v>
      </c>
      <c r="D366" t="s">
        <v>213</v>
      </c>
      <c r="E366" t="s">
        <v>48</v>
      </c>
      <c r="F366">
        <f t="shared" si="21"/>
        <v>52</v>
      </c>
      <c r="G366">
        <v>52</v>
      </c>
      <c r="H366" t="str">
        <f t="shared" si="22"/>
        <v>Male</v>
      </c>
      <c r="I366" t="s">
        <v>59</v>
      </c>
      <c r="J366">
        <f t="shared" si="23"/>
        <v>360002</v>
      </c>
      <c r="K366">
        <v>360002</v>
      </c>
      <c r="L366">
        <f t="shared" si="24"/>
        <v>161259</v>
      </c>
      <c r="M366">
        <v>161259</v>
      </c>
      <c r="N366">
        <v>111384</v>
      </c>
      <c r="O366" t="s">
        <v>16</v>
      </c>
      <c r="P366" t="s">
        <v>24</v>
      </c>
    </row>
    <row r="367" spans="1:16" x14ac:dyDescent="0.3">
      <c r="A367" t="s">
        <v>858</v>
      </c>
      <c r="B367" t="str">
        <f>CONCATENATE(Table1[[#This Row],[First Name]]," ",Table1[[#This Row],[Last Name]])</f>
        <v>Jeffrey Martinez</v>
      </c>
      <c r="C367" t="s">
        <v>506</v>
      </c>
      <c r="D367" t="s">
        <v>447</v>
      </c>
      <c r="E367" t="s">
        <v>21</v>
      </c>
      <c r="F367">
        <f t="shared" si="21"/>
        <v>39</v>
      </c>
      <c r="G367">
        <v>39</v>
      </c>
      <c r="H367" t="str">
        <f t="shared" si="22"/>
        <v>Female</v>
      </c>
      <c r="I367" t="s">
        <v>22</v>
      </c>
      <c r="J367">
        <f t="shared" si="23"/>
        <v>258853</v>
      </c>
      <c r="K367">
        <v>258853</v>
      </c>
      <c r="L367">
        <f t="shared" si="24"/>
        <v>20010</v>
      </c>
      <c r="M367">
        <v>20010</v>
      </c>
      <c r="N367">
        <v>22361</v>
      </c>
      <c r="O367" t="s">
        <v>23</v>
      </c>
      <c r="P367" t="s">
        <v>24</v>
      </c>
    </row>
    <row r="368" spans="1:16" x14ac:dyDescent="0.3">
      <c r="A368" t="s">
        <v>859</v>
      </c>
      <c r="B368" t="str">
        <f>CONCATENATE(Table1[[#This Row],[First Name]]," ",Table1[[#This Row],[Last Name]])</f>
        <v>Daniel Knight</v>
      </c>
      <c r="C368" t="s">
        <v>47</v>
      </c>
      <c r="D368" t="s">
        <v>860</v>
      </c>
      <c r="E368" t="s">
        <v>14</v>
      </c>
      <c r="F368">
        <f t="shared" si="21"/>
        <v>48</v>
      </c>
      <c r="G368">
        <v>48</v>
      </c>
      <c r="H368" t="str">
        <f t="shared" si="22"/>
        <v>Female</v>
      </c>
      <c r="I368" t="s">
        <v>22</v>
      </c>
      <c r="J368" s="2">
        <f t="shared" si="23"/>
        <v>252076.51219512196</v>
      </c>
      <c r="L368">
        <f t="shared" si="24"/>
        <v>101858</v>
      </c>
      <c r="M368">
        <v>101858</v>
      </c>
      <c r="N368">
        <v>95966</v>
      </c>
      <c r="O368" t="s">
        <v>23</v>
      </c>
      <c r="P368" t="s">
        <v>17</v>
      </c>
    </row>
    <row r="369" spans="1:16" x14ac:dyDescent="0.3">
      <c r="A369" t="s">
        <v>861</v>
      </c>
      <c r="B369" t="str">
        <f>CONCATENATE(Table1[[#This Row],[First Name]]," ",Table1[[#This Row],[Last Name]])</f>
        <v>Heather Alvarado</v>
      </c>
      <c r="C369" t="s">
        <v>500</v>
      </c>
      <c r="D369" t="s">
        <v>862</v>
      </c>
      <c r="E369" t="s">
        <v>14</v>
      </c>
      <c r="F369">
        <f t="shared" si="21"/>
        <v>43</v>
      </c>
      <c r="G369">
        <v>43</v>
      </c>
      <c r="H369" t="str">
        <f t="shared" si="22"/>
        <v>Unknown</v>
      </c>
      <c r="J369">
        <f t="shared" si="23"/>
        <v>237006</v>
      </c>
      <c r="K369">
        <v>237006</v>
      </c>
      <c r="L369">
        <f t="shared" si="24"/>
        <v>84806</v>
      </c>
      <c r="M369">
        <v>84806</v>
      </c>
      <c r="N369">
        <v>105352</v>
      </c>
      <c r="O369" t="s">
        <v>23</v>
      </c>
      <c r="P369" t="s">
        <v>17</v>
      </c>
    </row>
    <row r="370" spans="1:16" x14ac:dyDescent="0.3">
      <c r="A370" t="s">
        <v>863</v>
      </c>
      <c r="B370" t="str">
        <f>CONCATENATE(Table1[[#This Row],[First Name]]," ",Table1[[#This Row],[Last Name]])</f>
        <v>Vanessa Williams</v>
      </c>
      <c r="C370" t="s">
        <v>864</v>
      </c>
      <c r="D370" t="s">
        <v>751</v>
      </c>
      <c r="E370" t="s">
        <v>21</v>
      </c>
      <c r="F370">
        <f t="shared" si="21"/>
        <v>39</v>
      </c>
      <c r="G370">
        <v>39</v>
      </c>
      <c r="H370" t="str">
        <f t="shared" si="22"/>
        <v>Unknown</v>
      </c>
      <c r="J370">
        <f t="shared" si="23"/>
        <v>261414</v>
      </c>
      <c r="K370">
        <v>261414</v>
      </c>
      <c r="L370">
        <f t="shared" si="24"/>
        <v>239815</v>
      </c>
      <c r="M370">
        <v>239815</v>
      </c>
      <c r="N370">
        <v>30064</v>
      </c>
      <c r="O370" t="s">
        <v>16</v>
      </c>
      <c r="P370" t="s">
        <v>24</v>
      </c>
    </row>
    <row r="371" spans="1:16" x14ac:dyDescent="0.3">
      <c r="A371" t="s">
        <v>865</v>
      </c>
      <c r="B371" t="str">
        <f>CONCATENATE(Table1[[#This Row],[First Name]]," ",Table1[[#This Row],[Last Name]])</f>
        <v>Alexandra Wilson</v>
      </c>
      <c r="C371" t="s">
        <v>866</v>
      </c>
      <c r="D371" t="s">
        <v>335</v>
      </c>
      <c r="E371" t="s">
        <v>48</v>
      </c>
      <c r="F371">
        <f t="shared" si="21"/>
        <v>56</v>
      </c>
      <c r="G371">
        <v>56</v>
      </c>
      <c r="H371" t="str">
        <f t="shared" si="22"/>
        <v>Female</v>
      </c>
      <c r="I371" t="s">
        <v>22</v>
      </c>
      <c r="J371">
        <f t="shared" si="23"/>
        <v>319744</v>
      </c>
      <c r="K371">
        <v>319744</v>
      </c>
      <c r="L371">
        <f t="shared" si="24"/>
        <v>93137</v>
      </c>
      <c r="M371">
        <v>93137</v>
      </c>
      <c r="N371">
        <v>76700</v>
      </c>
      <c r="O371" t="s">
        <v>16</v>
      </c>
      <c r="P371" t="s">
        <v>17</v>
      </c>
    </row>
    <row r="372" spans="1:16" x14ac:dyDescent="0.3">
      <c r="A372" t="s">
        <v>867</v>
      </c>
      <c r="B372" t="str">
        <f>CONCATENATE(Table1[[#This Row],[First Name]]," ",Table1[[#This Row],[Last Name]])</f>
        <v>Zachary Merritt</v>
      </c>
      <c r="C372" t="s">
        <v>821</v>
      </c>
      <c r="D372" t="s">
        <v>868</v>
      </c>
      <c r="E372" t="s">
        <v>44</v>
      </c>
      <c r="F372">
        <f t="shared" si="21"/>
        <v>24</v>
      </c>
      <c r="G372">
        <v>24</v>
      </c>
      <c r="H372" t="str">
        <f t="shared" si="22"/>
        <v>Male</v>
      </c>
      <c r="I372" t="s">
        <v>59</v>
      </c>
      <c r="J372" s="2">
        <f t="shared" si="23"/>
        <v>252076.51219512196</v>
      </c>
      <c r="L372">
        <f t="shared" si="24"/>
        <v>133095</v>
      </c>
      <c r="M372">
        <v>133095</v>
      </c>
      <c r="N372">
        <v>48979</v>
      </c>
      <c r="O372" t="s">
        <v>33</v>
      </c>
      <c r="P372" t="s">
        <v>24</v>
      </c>
    </row>
    <row r="373" spans="1:16" x14ac:dyDescent="0.3">
      <c r="A373" t="s">
        <v>869</v>
      </c>
      <c r="B373" t="str">
        <f>CONCATENATE(Table1[[#This Row],[First Name]]," ",Table1[[#This Row],[Last Name]])</f>
        <v>Deanna West</v>
      </c>
      <c r="C373" t="s">
        <v>870</v>
      </c>
      <c r="D373" t="s">
        <v>871</v>
      </c>
      <c r="E373" t="s">
        <v>44</v>
      </c>
      <c r="F373">
        <f t="shared" si="21"/>
        <v>59</v>
      </c>
      <c r="G373">
        <v>59</v>
      </c>
      <c r="H373" t="str">
        <f t="shared" si="22"/>
        <v>Female</v>
      </c>
      <c r="I373" t="s">
        <v>22</v>
      </c>
      <c r="J373">
        <f t="shared" si="23"/>
        <v>344622</v>
      </c>
      <c r="K373">
        <v>344622</v>
      </c>
      <c r="L373">
        <f t="shared" si="24"/>
        <v>260297</v>
      </c>
      <c r="M373">
        <v>260297</v>
      </c>
      <c r="N373">
        <v>74372</v>
      </c>
      <c r="O373" t="s">
        <v>16</v>
      </c>
      <c r="P373" t="s">
        <v>24</v>
      </c>
    </row>
    <row r="374" spans="1:16" x14ac:dyDescent="0.3">
      <c r="A374" t="s">
        <v>872</v>
      </c>
      <c r="B374" t="str">
        <f>CONCATENATE(Table1[[#This Row],[First Name]]," ",Table1[[#This Row],[Last Name]])</f>
        <v>Victoria Fisher</v>
      </c>
      <c r="C374" t="s">
        <v>796</v>
      </c>
      <c r="D374" t="s">
        <v>225</v>
      </c>
      <c r="E374" t="s">
        <v>21</v>
      </c>
      <c r="F374">
        <f t="shared" si="21"/>
        <v>28</v>
      </c>
      <c r="G374">
        <v>28</v>
      </c>
      <c r="H374" t="str">
        <f t="shared" si="22"/>
        <v>Female</v>
      </c>
      <c r="I374" t="s">
        <v>22</v>
      </c>
      <c r="J374">
        <f t="shared" si="23"/>
        <v>392183</v>
      </c>
      <c r="K374">
        <v>392183</v>
      </c>
      <c r="L374">
        <f t="shared" si="24"/>
        <v>132526</v>
      </c>
      <c r="M374">
        <v>132526</v>
      </c>
      <c r="N374">
        <v>134976</v>
      </c>
      <c r="O374" t="s">
        <v>16</v>
      </c>
      <c r="P374" t="s">
        <v>24</v>
      </c>
    </row>
    <row r="375" spans="1:16" x14ac:dyDescent="0.3">
      <c r="A375" t="s">
        <v>873</v>
      </c>
      <c r="B375" t="str">
        <f>CONCATENATE(Table1[[#This Row],[First Name]]," ",Table1[[#This Row],[Last Name]])</f>
        <v>Sarah Wilson</v>
      </c>
      <c r="C375" t="s">
        <v>643</v>
      </c>
      <c r="D375" t="s">
        <v>335</v>
      </c>
      <c r="E375" t="s">
        <v>14</v>
      </c>
      <c r="F375">
        <f t="shared" si="21"/>
        <v>32</v>
      </c>
      <c r="G375">
        <v>32</v>
      </c>
      <c r="H375" t="str">
        <f t="shared" si="22"/>
        <v>Female</v>
      </c>
      <c r="I375" t="s">
        <v>22</v>
      </c>
      <c r="J375">
        <f t="shared" si="23"/>
        <v>121171</v>
      </c>
      <c r="K375">
        <v>121171</v>
      </c>
      <c r="L375">
        <f t="shared" si="24"/>
        <v>6261</v>
      </c>
      <c r="M375">
        <v>6261</v>
      </c>
      <c r="N375">
        <v>148901</v>
      </c>
      <c r="O375" t="s">
        <v>33</v>
      </c>
      <c r="P375" t="s">
        <v>24</v>
      </c>
    </row>
    <row r="376" spans="1:16" x14ac:dyDescent="0.3">
      <c r="A376" t="s">
        <v>874</v>
      </c>
      <c r="B376" t="str">
        <f>CONCATENATE(Table1[[#This Row],[First Name]]," ",Table1[[#This Row],[Last Name]])</f>
        <v>Kathryn Richmond</v>
      </c>
      <c r="C376" t="s">
        <v>875</v>
      </c>
      <c r="D376" t="s">
        <v>876</v>
      </c>
      <c r="E376" t="s">
        <v>21</v>
      </c>
      <c r="F376">
        <f t="shared" si="21"/>
        <v>53</v>
      </c>
      <c r="G376">
        <v>53</v>
      </c>
      <c r="H376" t="str">
        <f t="shared" si="22"/>
        <v>Male</v>
      </c>
      <c r="I376" t="s">
        <v>59</v>
      </c>
      <c r="J376">
        <f t="shared" si="23"/>
        <v>478742</v>
      </c>
      <c r="K376">
        <v>478742</v>
      </c>
      <c r="L376">
        <f t="shared" si="24"/>
        <v>51344</v>
      </c>
      <c r="M376">
        <v>51344</v>
      </c>
      <c r="N376">
        <v>125003</v>
      </c>
      <c r="O376" t="s">
        <v>23</v>
      </c>
      <c r="P376" t="s">
        <v>24</v>
      </c>
    </row>
    <row r="377" spans="1:16" x14ac:dyDescent="0.3">
      <c r="A377" t="s">
        <v>877</v>
      </c>
      <c r="B377" t="str">
        <f>CONCATENATE(Table1[[#This Row],[First Name]]," ",Table1[[#This Row],[Last Name]])</f>
        <v>Brittney Villa</v>
      </c>
      <c r="C377" t="s">
        <v>878</v>
      </c>
      <c r="D377" t="s">
        <v>745</v>
      </c>
      <c r="E377" t="s">
        <v>21</v>
      </c>
      <c r="F377">
        <f t="shared" si="21"/>
        <v>31</v>
      </c>
      <c r="G377">
        <v>31</v>
      </c>
      <c r="H377" t="str">
        <f t="shared" si="22"/>
        <v>Unknown</v>
      </c>
      <c r="J377">
        <f t="shared" si="23"/>
        <v>396430</v>
      </c>
      <c r="K377">
        <v>396430</v>
      </c>
      <c r="L377">
        <f t="shared" si="24"/>
        <v>82952</v>
      </c>
      <c r="M377">
        <v>82952</v>
      </c>
      <c r="N377">
        <v>97601</v>
      </c>
      <c r="O377" t="s">
        <v>33</v>
      </c>
      <c r="P377" t="s">
        <v>24</v>
      </c>
    </row>
    <row r="378" spans="1:16" x14ac:dyDescent="0.3">
      <c r="A378" t="s">
        <v>879</v>
      </c>
      <c r="B378" t="str">
        <f>CONCATENATE(Table1[[#This Row],[First Name]]," ",Table1[[#This Row],[Last Name]])</f>
        <v>Christopher Jackson</v>
      </c>
      <c r="C378" t="s">
        <v>61</v>
      </c>
      <c r="D378" t="s">
        <v>807</v>
      </c>
      <c r="E378" t="s">
        <v>44</v>
      </c>
      <c r="F378">
        <f t="shared" si="21"/>
        <v>24</v>
      </c>
      <c r="G378">
        <v>24</v>
      </c>
      <c r="H378" t="str">
        <f t="shared" si="22"/>
        <v>Female</v>
      </c>
      <c r="I378" t="s">
        <v>22</v>
      </c>
      <c r="J378">
        <f t="shared" si="23"/>
        <v>423701</v>
      </c>
      <c r="K378">
        <v>423701</v>
      </c>
      <c r="L378">
        <f t="shared" si="24"/>
        <v>129181</v>
      </c>
      <c r="M378">
        <v>129181</v>
      </c>
      <c r="N378">
        <v>15001</v>
      </c>
      <c r="O378" t="s">
        <v>33</v>
      </c>
      <c r="P378" t="s">
        <v>17</v>
      </c>
    </row>
    <row r="379" spans="1:16" x14ac:dyDescent="0.3">
      <c r="A379" t="s">
        <v>880</v>
      </c>
      <c r="B379" t="str">
        <f>CONCATENATE(Table1[[#This Row],[First Name]]," ",Table1[[#This Row],[Last Name]])</f>
        <v>Nicole Sutton</v>
      </c>
      <c r="C379" t="s">
        <v>219</v>
      </c>
      <c r="D379" t="s">
        <v>881</v>
      </c>
      <c r="E379" t="s">
        <v>14</v>
      </c>
      <c r="F379">
        <f t="shared" si="21"/>
        <v>27</v>
      </c>
      <c r="G379">
        <v>27</v>
      </c>
      <c r="H379" t="str">
        <f t="shared" si="22"/>
        <v>Male</v>
      </c>
      <c r="I379" t="s">
        <v>59</v>
      </c>
      <c r="J379">
        <f t="shared" si="23"/>
        <v>293666</v>
      </c>
      <c r="K379">
        <v>293666</v>
      </c>
      <c r="L379">
        <f t="shared" si="24"/>
        <v>234181</v>
      </c>
      <c r="M379">
        <v>234181</v>
      </c>
      <c r="N379">
        <v>54259</v>
      </c>
      <c r="O379" t="s">
        <v>16</v>
      </c>
      <c r="P379" t="s">
        <v>24</v>
      </c>
    </row>
    <row r="380" spans="1:16" x14ac:dyDescent="0.3">
      <c r="A380" t="s">
        <v>882</v>
      </c>
      <c r="B380" t="str">
        <f>CONCATENATE(Table1[[#This Row],[First Name]]," ",Table1[[#This Row],[Last Name]])</f>
        <v>Warren Thomas</v>
      </c>
      <c r="C380" t="s">
        <v>883</v>
      </c>
      <c r="D380" t="s">
        <v>116</v>
      </c>
      <c r="E380" t="s">
        <v>14</v>
      </c>
      <c r="F380">
        <f t="shared" si="21"/>
        <v>53</v>
      </c>
      <c r="G380">
        <v>53</v>
      </c>
      <c r="H380" t="str">
        <f t="shared" si="22"/>
        <v>Male</v>
      </c>
      <c r="I380" t="s">
        <v>59</v>
      </c>
      <c r="J380">
        <f t="shared" si="23"/>
        <v>34264</v>
      </c>
      <c r="K380">
        <v>34264</v>
      </c>
      <c r="L380">
        <f t="shared" si="24"/>
        <v>103776</v>
      </c>
      <c r="M380">
        <v>103776</v>
      </c>
      <c r="N380">
        <v>129466</v>
      </c>
      <c r="O380" t="s">
        <v>23</v>
      </c>
      <c r="P380" t="s">
        <v>17</v>
      </c>
    </row>
    <row r="381" spans="1:16" x14ac:dyDescent="0.3">
      <c r="A381" t="s">
        <v>884</v>
      </c>
      <c r="B381" t="str">
        <f>CONCATENATE(Table1[[#This Row],[First Name]]," ",Table1[[#This Row],[Last Name]])</f>
        <v>Jeremiah Becker</v>
      </c>
      <c r="C381" t="s">
        <v>885</v>
      </c>
      <c r="D381" t="s">
        <v>886</v>
      </c>
      <c r="E381" t="s">
        <v>48</v>
      </c>
      <c r="F381">
        <f t="shared" si="21"/>
        <v>50</v>
      </c>
      <c r="G381">
        <v>50</v>
      </c>
      <c r="H381" t="str">
        <f t="shared" si="22"/>
        <v>Female</v>
      </c>
      <c r="I381" t="s">
        <v>22</v>
      </c>
      <c r="J381">
        <f t="shared" si="23"/>
        <v>160810</v>
      </c>
      <c r="K381">
        <v>160810</v>
      </c>
      <c r="L381">
        <f t="shared" si="24"/>
        <v>268796</v>
      </c>
      <c r="M381">
        <v>268796</v>
      </c>
      <c r="N381">
        <v>145311</v>
      </c>
      <c r="O381" t="s">
        <v>23</v>
      </c>
      <c r="P381" t="s">
        <v>17</v>
      </c>
    </row>
    <row r="382" spans="1:16" x14ac:dyDescent="0.3">
      <c r="A382" t="s">
        <v>887</v>
      </c>
      <c r="B382" t="str">
        <f>CONCATENATE(Table1[[#This Row],[First Name]]," ",Table1[[#This Row],[Last Name]])</f>
        <v>Carrie Hunter</v>
      </c>
      <c r="C382" t="s">
        <v>395</v>
      </c>
      <c r="D382" t="s">
        <v>888</v>
      </c>
      <c r="E382" t="s">
        <v>14</v>
      </c>
      <c r="F382">
        <f t="shared" si="21"/>
        <v>40</v>
      </c>
      <c r="G382">
        <v>40</v>
      </c>
      <c r="H382" t="str">
        <f t="shared" si="22"/>
        <v>Male</v>
      </c>
      <c r="I382" t="s">
        <v>59</v>
      </c>
      <c r="J382">
        <f t="shared" si="23"/>
        <v>242668</v>
      </c>
      <c r="K382">
        <v>242668</v>
      </c>
      <c r="L382">
        <f t="shared" si="24"/>
        <v>62828</v>
      </c>
      <c r="M382">
        <v>62828</v>
      </c>
      <c r="N382">
        <v>32923</v>
      </c>
      <c r="O382" t="s">
        <v>23</v>
      </c>
      <c r="P382" t="s">
        <v>24</v>
      </c>
    </row>
    <row r="383" spans="1:16" x14ac:dyDescent="0.3">
      <c r="A383" t="s">
        <v>889</v>
      </c>
      <c r="B383" t="str">
        <f>CONCATENATE(Table1[[#This Row],[First Name]]," ",Table1[[#This Row],[Last Name]])</f>
        <v>Brittany Serrano</v>
      </c>
      <c r="C383" t="s">
        <v>53</v>
      </c>
      <c r="D383" t="s">
        <v>890</v>
      </c>
      <c r="E383" t="s">
        <v>21</v>
      </c>
      <c r="F383">
        <f t="shared" si="21"/>
        <v>56</v>
      </c>
      <c r="G383">
        <v>56</v>
      </c>
      <c r="H383" t="str">
        <f t="shared" si="22"/>
        <v>Unknown</v>
      </c>
      <c r="J383">
        <f t="shared" si="23"/>
        <v>485185</v>
      </c>
      <c r="K383">
        <v>485185</v>
      </c>
      <c r="L383">
        <f t="shared" si="24"/>
        <v>85717</v>
      </c>
      <c r="M383">
        <v>85717</v>
      </c>
      <c r="N383">
        <v>23583</v>
      </c>
      <c r="O383" t="s">
        <v>33</v>
      </c>
      <c r="P383" t="s">
        <v>17</v>
      </c>
    </row>
    <row r="384" spans="1:16" x14ac:dyDescent="0.3">
      <c r="A384" t="s">
        <v>891</v>
      </c>
      <c r="B384" t="str">
        <f>CONCATENATE(Table1[[#This Row],[First Name]]," ",Table1[[#This Row],[Last Name]])</f>
        <v>William Edwards</v>
      </c>
      <c r="C384" t="s">
        <v>135</v>
      </c>
      <c r="D384" t="s">
        <v>477</v>
      </c>
      <c r="E384" t="s">
        <v>14</v>
      </c>
      <c r="F384">
        <f t="shared" si="21"/>
        <v>24</v>
      </c>
      <c r="G384">
        <v>24</v>
      </c>
      <c r="H384" t="str">
        <f t="shared" si="22"/>
        <v>Male</v>
      </c>
      <c r="I384" t="s">
        <v>59</v>
      </c>
      <c r="J384">
        <f t="shared" si="23"/>
        <v>16514</v>
      </c>
      <c r="K384">
        <v>16514</v>
      </c>
      <c r="L384">
        <f t="shared" si="24"/>
        <v>10309</v>
      </c>
      <c r="M384">
        <v>10309</v>
      </c>
      <c r="N384">
        <v>120769</v>
      </c>
      <c r="O384" t="s">
        <v>16</v>
      </c>
      <c r="P384" t="s">
        <v>17</v>
      </c>
    </row>
    <row r="385" spans="1:16" x14ac:dyDescent="0.3">
      <c r="A385" t="s">
        <v>892</v>
      </c>
      <c r="B385" t="str">
        <f>CONCATENATE(Table1[[#This Row],[First Name]]," ",Table1[[#This Row],[Last Name]])</f>
        <v>John Foster</v>
      </c>
      <c r="C385" t="s">
        <v>80</v>
      </c>
      <c r="D385" t="s">
        <v>853</v>
      </c>
      <c r="E385" t="s">
        <v>14</v>
      </c>
      <c r="F385">
        <f t="shared" si="21"/>
        <v>35</v>
      </c>
      <c r="G385">
        <v>35</v>
      </c>
      <c r="H385" t="str">
        <f t="shared" si="22"/>
        <v>Female</v>
      </c>
      <c r="I385" t="s">
        <v>22</v>
      </c>
      <c r="J385" s="2">
        <f t="shared" si="23"/>
        <v>252076.51219512196</v>
      </c>
      <c r="L385">
        <f t="shared" si="24"/>
        <v>261842</v>
      </c>
      <c r="M385">
        <v>261842</v>
      </c>
      <c r="N385">
        <v>71474</v>
      </c>
      <c r="O385" t="s">
        <v>23</v>
      </c>
      <c r="P385" t="s">
        <v>24</v>
      </c>
    </row>
    <row r="386" spans="1:16" x14ac:dyDescent="0.3">
      <c r="A386" t="s">
        <v>893</v>
      </c>
      <c r="B386" t="str">
        <f>CONCATENATE(Table1[[#This Row],[First Name]]," ",Table1[[#This Row],[Last Name]])</f>
        <v>Xavier Evans</v>
      </c>
      <c r="C386" t="s">
        <v>894</v>
      </c>
      <c r="D386" t="s">
        <v>895</v>
      </c>
      <c r="E386" t="s">
        <v>44</v>
      </c>
      <c r="F386">
        <f t="shared" ref="F386:F449" si="25">IF(G386="", AVERAGE($G$2:$G$501),G386)</f>
        <v>32</v>
      </c>
      <c r="G386">
        <v>32</v>
      </c>
      <c r="H386" t="str">
        <f t="shared" ref="H386:H449" si="26">IF(I386="","Unknown",I386)</f>
        <v>Male</v>
      </c>
      <c r="I386" t="s">
        <v>59</v>
      </c>
      <c r="J386">
        <f t="shared" ref="J386:J449" si="27">IF(K386="",AVERAGE($K$2:$K$501),K386)</f>
        <v>337847</v>
      </c>
      <c r="K386">
        <v>337847</v>
      </c>
      <c r="L386">
        <f t="shared" ref="L386:L449" si="28">IF(M386="",AVERAGEIF($F$2:$F$501,F386,$M$2:$M$501),M386)</f>
        <v>194095</v>
      </c>
      <c r="M386">
        <v>194095</v>
      </c>
      <c r="N386">
        <v>21729</v>
      </c>
      <c r="O386" t="s">
        <v>23</v>
      </c>
      <c r="P386" t="s">
        <v>17</v>
      </c>
    </row>
    <row r="387" spans="1:16" x14ac:dyDescent="0.3">
      <c r="A387" t="s">
        <v>896</v>
      </c>
      <c r="B387" t="str">
        <f>CONCATENATE(Table1[[#This Row],[First Name]]," ",Table1[[#This Row],[Last Name]])</f>
        <v>Victoria Powers</v>
      </c>
      <c r="C387" t="s">
        <v>796</v>
      </c>
      <c r="D387" t="s">
        <v>897</v>
      </c>
      <c r="E387" t="s">
        <v>58</v>
      </c>
      <c r="F387">
        <f t="shared" si="25"/>
        <v>36</v>
      </c>
      <c r="G387">
        <v>36</v>
      </c>
      <c r="H387" t="str">
        <f t="shared" si="26"/>
        <v>Unknown</v>
      </c>
      <c r="J387">
        <f t="shared" si="27"/>
        <v>129645</v>
      </c>
      <c r="K387">
        <v>129645</v>
      </c>
      <c r="L387">
        <f t="shared" si="28"/>
        <v>272792</v>
      </c>
      <c r="M387">
        <v>272792</v>
      </c>
      <c r="N387">
        <v>118466</v>
      </c>
      <c r="O387" t="s">
        <v>16</v>
      </c>
      <c r="P387" t="s">
        <v>24</v>
      </c>
    </row>
    <row r="388" spans="1:16" x14ac:dyDescent="0.3">
      <c r="A388" t="s">
        <v>898</v>
      </c>
      <c r="B388" t="str">
        <f>CONCATENATE(Table1[[#This Row],[First Name]]," ",Table1[[#This Row],[Last Name]])</f>
        <v>Roberto Brewer</v>
      </c>
      <c r="C388" t="s">
        <v>488</v>
      </c>
      <c r="D388" t="s">
        <v>426</v>
      </c>
      <c r="E388" t="s">
        <v>44</v>
      </c>
      <c r="F388">
        <f t="shared" si="25"/>
        <v>27</v>
      </c>
      <c r="G388">
        <v>27</v>
      </c>
      <c r="H388" t="str">
        <f t="shared" si="26"/>
        <v>Male</v>
      </c>
      <c r="I388" t="s">
        <v>59</v>
      </c>
      <c r="J388">
        <f t="shared" si="27"/>
        <v>284215</v>
      </c>
      <c r="K388">
        <v>284215</v>
      </c>
      <c r="L388">
        <f t="shared" si="28"/>
        <v>61252</v>
      </c>
      <c r="M388">
        <v>61252</v>
      </c>
      <c r="N388">
        <v>88259</v>
      </c>
      <c r="O388" t="s">
        <v>33</v>
      </c>
      <c r="P388" t="s">
        <v>24</v>
      </c>
    </row>
    <row r="389" spans="1:16" x14ac:dyDescent="0.3">
      <c r="A389" t="s">
        <v>899</v>
      </c>
      <c r="B389" t="str">
        <f>CONCATENATE(Table1[[#This Row],[First Name]]," ",Table1[[#This Row],[Last Name]])</f>
        <v>Kyle Gibson</v>
      </c>
      <c r="C389" t="s">
        <v>129</v>
      </c>
      <c r="D389" t="s">
        <v>436</v>
      </c>
      <c r="E389" t="s">
        <v>44</v>
      </c>
      <c r="F389">
        <f t="shared" si="25"/>
        <v>58</v>
      </c>
      <c r="G389">
        <v>58</v>
      </c>
      <c r="H389" t="str">
        <f t="shared" si="26"/>
        <v>Male</v>
      </c>
      <c r="I389" t="s">
        <v>59</v>
      </c>
      <c r="J389">
        <f t="shared" si="27"/>
        <v>151192</v>
      </c>
      <c r="K389">
        <v>151192</v>
      </c>
      <c r="L389" s="2">
        <f t="shared" si="28"/>
        <v>144596.33333333334</v>
      </c>
      <c r="N389">
        <v>116164</v>
      </c>
      <c r="O389" t="s">
        <v>23</v>
      </c>
      <c r="P389" t="s">
        <v>24</v>
      </c>
    </row>
    <row r="390" spans="1:16" x14ac:dyDescent="0.3">
      <c r="A390" t="s">
        <v>900</v>
      </c>
      <c r="B390" t="str">
        <f>CONCATENATE(Table1[[#This Row],[First Name]]," ",Table1[[#This Row],[Last Name]])</f>
        <v>Brian Martinez</v>
      </c>
      <c r="C390" t="s">
        <v>669</v>
      </c>
      <c r="D390" t="s">
        <v>447</v>
      </c>
      <c r="E390" t="s">
        <v>58</v>
      </c>
      <c r="F390">
        <f t="shared" si="25"/>
        <v>52</v>
      </c>
      <c r="G390">
        <v>52</v>
      </c>
      <c r="H390" t="str">
        <f t="shared" si="26"/>
        <v>Male</v>
      </c>
      <c r="I390" t="s">
        <v>59</v>
      </c>
      <c r="J390">
        <f t="shared" si="27"/>
        <v>107589</v>
      </c>
      <c r="K390">
        <v>107589</v>
      </c>
      <c r="L390">
        <f t="shared" si="28"/>
        <v>286248</v>
      </c>
      <c r="M390">
        <v>286248</v>
      </c>
      <c r="N390">
        <v>128046</v>
      </c>
      <c r="O390" t="s">
        <v>16</v>
      </c>
      <c r="P390" t="s">
        <v>24</v>
      </c>
    </row>
    <row r="391" spans="1:16" x14ac:dyDescent="0.3">
      <c r="A391" t="s">
        <v>901</v>
      </c>
      <c r="B391" t="str">
        <f>CONCATENATE(Table1[[#This Row],[First Name]]," ",Table1[[#This Row],[Last Name]])</f>
        <v>Debra Bowen</v>
      </c>
      <c r="C391" t="s">
        <v>510</v>
      </c>
      <c r="D391" t="s">
        <v>145</v>
      </c>
      <c r="E391" t="s">
        <v>14</v>
      </c>
      <c r="F391">
        <f t="shared" si="25"/>
        <v>59</v>
      </c>
      <c r="G391">
        <v>59</v>
      </c>
      <c r="H391" t="str">
        <f t="shared" si="26"/>
        <v>Female</v>
      </c>
      <c r="I391" t="s">
        <v>22</v>
      </c>
      <c r="J391">
        <f t="shared" si="27"/>
        <v>208909</v>
      </c>
      <c r="K391">
        <v>208909</v>
      </c>
      <c r="L391" s="2">
        <f t="shared" si="28"/>
        <v>181534.3</v>
      </c>
      <c r="N391">
        <v>68167</v>
      </c>
      <c r="O391" t="s">
        <v>23</v>
      </c>
      <c r="P391" t="s">
        <v>17</v>
      </c>
    </row>
    <row r="392" spans="1:16" x14ac:dyDescent="0.3">
      <c r="A392" t="s">
        <v>902</v>
      </c>
      <c r="B392" t="str">
        <f>CONCATENATE(Table1[[#This Row],[First Name]]," ",Table1[[#This Row],[Last Name]])</f>
        <v>Megan King</v>
      </c>
      <c r="C392" t="s">
        <v>340</v>
      </c>
      <c r="D392" t="s">
        <v>903</v>
      </c>
      <c r="E392" t="s">
        <v>14</v>
      </c>
      <c r="F392">
        <f t="shared" si="25"/>
        <v>24</v>
      </c>
      <c r="G392">
        <v>24</v>
      </c>
      <c r="H392" t="str">
        <f t="shared" si="26"/>
        <v>Female</v>
      </c>
      <c r="I392" t="s">
        <v>22</v>
      </c>
      <c r="J392">
        <f t="shared" si="27"/>
        <v>442105</v>
      </c>
      <c r="K392">
        <v>442105</v>
      </c>
      <c r="L392">
        <f t="shared" si="28"/>
        <v>79060</v>
      </c>
      <c r="M392">
        <v>79060</v>
      </c>
      <c r="N392">
        <v>134649</v>
      </c>
      <c r="O392" t="s">
        <v>16</v>
      </c>
      <c r="P392" t="s">
        <v>17</v>
      </c>
    </row>
    <row r="393" spans="1:16" x14ac:dyDescent="0.3">
      <c r="A393" t="s">
        <v>904</v>
      </c>
      <c r="B393" t="str">
        <f>CONCATENATE(Table1[[#This Row],[First Name]]," ",Table1[[#This Row],[Last Name]])</f>
        <v>Casey Miranda</v>
      </c>
      <c r="C393" t="s">
        <v>905</v>
      </c>
      <c r="D393" t="s">
        <v>819</v>
      </c>
      <c r="E393" t="s">
        <v>48</v>
      </c>
      <c r="F393">
        <f t="shared" si="25"/>
        <v>27</v>
      </c>
      <c r="G393">
        <v>27</v>
      </c>
      <c r="H393" t="str">
        <f t="shared" si="26"/>
        <v>Unknown</v>
      </c>
      <c r="J393">
        <f t="shared" si="27"/>
        <v>407361</v>
      </c>
      <c r="K393">
        <v>407361</v>
      </c>
      <c r="L393">
        <f t="shared" si="28"/>
        <v>238892</v>
      </c>
      <c r="M393">
        <v>238892</v>
      </c>
      <c r="N393">
        <v>136584</v>
      </c>
      <c r="O393" t="s">
        <v>23</v>
      </c>
      <c r="P393" t="s">
        <v>24</v>
      </c>
    </row>
    <row r="394" spans="1:16" x14ac:dyDescent="0.3">
      <c r="A394" t="s">
        <v>906</v>
      </c>
      <c r="B394" t="str">
        <f>CONCATENATE(Table1[[#This Row],[First Name]]," ",Table1[[#This Row],[Last Name]])</f>
        <v>Hector Murphy</v>
      </c>
      <c r="C394" t="s">
        <v>907</v>
      </c>
      <c r="D394" t="s">
        <v>258</v>
      </c>
      <c r="E394" t="s">
        <v>48</v>
      </c>
      <c r="F394">
        <f t="shared" si="25"/>
        <v>34</v>
      </c>
      <c r="G394">
        <v>34</v>
      </c>
      <c r="H394" t="str">
        <f t="shared" si="26"/>
        <v>Female</v>
      </c>
      <c r="I394" t="s">
        <v>22</v>
      </c>
      <c r="J394" s="2">
        <f t="shared" si="27"/>
        <v>252076.51219512196</v>
      </c>
      <c r="L394">
        <f t="shared" si="28"/>
        <v>137432</v>
      </c>
      <c r="M394">
        <v>137432</v>
      </c>
      <c r="N394">
        <v>29725</v>
      </c>
      <c r="O394" t="s">
        <v>33</v>
      </c>
      <c r="P394" t="s">
        <v>24</v>
      </c>
    </row>
    <row r="395" spans="1:16" x14ac:dyDescent="0.3">
      <c r="A395" t="s">
        <v>908</v>
      </c>
      <c r="B395" t="str">
        <f>CONCATENATE(Table1[[#This Row],[First Name]]," ",Table1[[#This Row],[Last Name]])</f>
        <v>Savannah Blackwell</v>
      </c>
      <c r="C395" t="s">
        <v>909</v>
      </c>
      <c r="D395" t="s">
        <v>834</v>
      </c>
      <c r="E395" t="s">
        <v>58</v>
      </c>
      <c r="F395">
        <f t="shared" si="25"/>
        <v>31</v>
      </c>
      <c r="G395">
        <v>31</v>
      </c>
      <c r="H395" t="str">
        <f t="shared" si="26"/>
        <v>Female</v>
      </c>
      <c r="I395" t="s">
        <v>22</v>
      </c>
      <c r="J395">
        <f t="shared" si="27"/>
        <v>101407</v>
      </c>
      <c r="K395">
        <v>101407</v>
      </c>
      <c r="L395">
        <f t="shared" si="28"/>
        <v>193618</v>
      </c>
      <c r="M395">
        <v>193618</v>
      </c>
      <c r="N395">
        <v>72765</v>
      </c>
      <c r="O395" t="s">
        <v>16</v>
      </c>
      <c r="P395" t="s">
        <v>17</v>
      </c>
    </row>
    <row r="396" spans="1:16" x14ac:dyDescent="0.3">
      <c r="A396" t="s">
        <v>910</v>
      </c>
      <c r="B396" t="str">
        <f>CONCATENATE(Table1[[#This Row],[First Name]]," ",Table1[[#This Row],[Last Name]])</f>
        <v>Diane Oconnor</v>
      </c>
      <c r="C396" t="s">
        <v>911</v>
      </c>
      <c r="D396" t="s">
        <v>912</v>
      </c>
      <c r="E396" t="s">
        <v>58</v>
      </c>
      <c r="F396">
        <f t="shared" si="25"/>
        <v>23</v>
      </c>
      <c r="G396">
        <v>23</v>
      </c>
      <c r="H396" t="str">
        <f t="shared" si="26"/>
        <v>Male</v>
      </c>
      <c r="I396" t="s">
        <v>59</v>
      </c>
      <c r="J396">
        <f t="shared" si="27"/>
        <v>192867</v>
      </c>
      <c r="K396">
        <v>192867</v>
      </c>
      <c r="L396">
        <f t="shared" si="28"/>
        <v>263591</v>
      </c>
      <c r="M396">
        <v>263591</v>
      </c>
      <c r="N396">
        <v>78847</v>
      </c>
      <c r="O396" t="s">
        <v>33</v>
      </c>
      <c r="P396" t="s">
        <v>17</v>
      </c>
    </row>
    <row r="397" spans="1:16" x14ac:dyDescent="0.3">
      <c r="A397" t="s">
        <v>913</v>
      </c>
      <c r="B397" t="str">
        <f>CONCATENATE(Table1[[#This Row],[First Name]]," ",Table1[[#This Row],[Last Name]])</f>
        <v>Anthony Garner</v>
      </c>
      <c r="C397" t="s">
        <v>294</v>
      </c>
      <c r="D397" t="s">
        <v>914</v>
      </c>
      <c r="E397" t="s">
        <v>58</v>
      </c>
      <c r="F397">
        <f t="shared" si="25"/>
        <v>21</v>
      </c>
      <c r="G397">
        <v>21</v>
      </c>
      <c r="H397" t="str">
        <f t="shared" si="26"/>
        <v>Male</v>
      </c>
      <c r="I397" t="s">
        <v>59</v>
      </c>
      <c r="J397" s="2">
        <f t="shared" si="27"/>
        <v>252076.51219512196</v>
      </c>
      <c r="L397">
        <f t="shared" si="28"/>
        <v>64002</v>
      </c>
      <c r="M397">
        <v>64002</v>
      </c>
      <c r="N397">
        <v>86639</v>
      </c>
      <c r="O397" t="s">
        <v>23</v>
      </c>
      <c r="P397" t="s">
        <v>17</v>
      </c>
    </row>
    <row r="398" spans="1:16" x14ac:dyDescent="0.3">
      <c r="A398" t="s">
        <v>915</v>
      </c>
      <c r="B398" t="str">
        <f>CONCATENATE(Table1[[#This Row],[First Name]]," ",Table1[[#This Row],[Last Name]])</f>
        <v>Molly Smith</v>
      </c>
      <c r="C398" t="s">
        <v>916</v>
      </c>
      <c r="D398" t="s">
        <v>62</v>
      </c>
      <c r="E398" t="s">
        <v>14</v>
      </c>
      <c r="F398">
        <f t="shared" si="25"/>
        <v>48</v>
      </c>
      <c r="G398">
        <v>48</v>
      </c>
      <c r="H398" t="str">
        <f t="shared" si="26"/>
        <v>Female</v>
      </c>
      <c r="I398" t="s">
        <v>22</v>
      </c>
      <c r="J398">
        <f t="shared" si="27"/>
        <v>393629</v>
      </c>
      <c r="K398">
        <v>393629</v>
      </c>
      <c r="L398" s="2">
        <f t="shared" si="28"/>
        <v>136682.45454545456</v>
      </c>
      <c r="N398">
        <v>136131</v>
      </c>
      <c r="O398" t="s">
        <v>23</v>
      </c>
      <c r="P398" t="s">
        <v>24</v>
      </c>
    </row>
    <row r="399" spans="1:16" x14ac:dyDescent="0.3">
      <c r="A399" t="s">
        <v>917</v>
      </c>
      <c r="B399" t="str">
        <f>CONCATENATE(Table1[[#This Row],[First Name]]," ",Table1[[#This Row],[Last Name]])</f>
        <v>Amanda Jackson</v>
      </c>
      <c r="C399" t="s">
        <v>156</v>
      </c>
      <c r="D399" t="s">
        <v>807</v>
      </c>
      <c r="E399" t="s">
        <v>14</v>
      </c>
      <c r="F399">
        <f t="shared" si="25"/>
        <v>40</v>
      </c>
      <c r="G399">
        <v>40</v>
      </c>
      <c r="H399" t="str">
        <f t="shared" si="26"/>
        <v>Male</v>
      </c>
      <c r="I399" t="s">
        <v>59</v>
      </c>
      <c r="J399" s="2">
        <f t="shared" si="27"/>
        <v>252076.51219512196</v>
      </c>
      <c r="L399">
        <f t="shared" si="28"/>
        <v>75631</v>
      </c>
      <c r="M399">
        <v>75631</v>
      </c>
      <c r="N399">
        <v>13823</v>
      </c>
      <c r="O399" t="s">
        <v>16</v>
      </c>
      <c r="P399" t="s">
        <v>24</v>
      </c>
    </row>
    <row r="400" spans="1:16" x14ac:dyDescent="0.3">
      <c r="A400" t="s">
        <v>918</v>
      </c>
      <c r="B400" t="str">
        <f>CONCATENATE(Table1[[#This Row],[First Name]]," ",Table1[[#This Row],[Last Name]])</f>
        <v>Christian Randolph</v>
      </c>
      <c r="C400" t="s">
        <v>919</v>
      </c>
      <c r="D400" t="s">
        <v>920</v>
      </c>
      <c r="E400" t="s">
        <v>14</v>
      </c>
      <c r="F400">
        <f t="shared" si="25"/>
        <v>43</v>
      </c>
      <c r="G400">
        <v>43</v>
      </c>
      <c r="H400" t="str">
        <f t="shared" si="26"/>
        <v>Female</v>
      </c>
      <c r="I400" t="s">
        <v>22</v>
      </c>
      <c r="J400">
        <f t="shared" si="27"/>
        <v>399324</v>
      </c>
      <c r="K400">
        <v>399324</v>
      </c>
      <c r="L400">
        <f t="shared" si="28"/>
        <v>77230</v>
      </c>
      <c r="M400">
        <v>77230</v>
      </c>
      <c r="N400">
        <v>104802</v>
      </c>
      <c r="O400" t="s">
        <v>16</v>
      </c>
      <c r="P400" t="s">
        <v>17</v>
      </c>
    </row>
    <row r="401" spans="1:16" x14ac:dyDescent="0.3">
      <c r="A401" t="s">
        <v>921</v>
      </c>
      <c r="B401" t="str">
        <f>CONCATENATE(Table1[[#This Row],[First Name]]," ",Table1[[#This Row],[Last Name]])</f>
        <v>Jason Mcdonald</v>
      </c>
      <c r="C401" t="s">
        <v>124</v>
      </c>
      <c r="D401" t="s">
        <v>922</v>
      </c>
      <c r="E401" t="s">
        <v>48</v>
      </c>
      <c r="F401">
        <f t="shared" si="25"/>
        <v>50</v>
      </c>
      <c r="G401">
        <v>50</v>
      </c>
      <c r="H401" t="str">
        <f t="shared" si="26"/>
        <v>Female</v>
      </c>
      <c r="I401" t="s">
        <v>22</v>
      </c>
      <c r="J401">
        <f t="shared" si="27"/>
        <v>360643</v>
      </c>
      <c r="K401">
        <v>360643</v>
      </c>
      <c r="L401">
        <f t="shared" si="28"/>
        <v>208355</v>
      </c>
      <c r="M401">
        <v>208355</v>
      </c>
      <c r="N401">
        <v>85285</v>
      </c>
      <c r="O401" t="s">
        <v>33</v>
      </c>
      <c r="P401" t="s">
        <v>17</v>
      </c>
    </row>
    <row r="402" spans="1:16" x14ac:dyDescent="0.3">
      <c r="A402" t="s">
        <v>923</v>
      </c>
      <c r="B402" t="str">
        <f>CONCATENATE(Table1[[#This Row],[First Name]]," ",Table1[[#This Row],[Last Name]])</f>
        <v>Linda York</v>
      </c>
      <c r="C402" t="s">
        <v>825</v>
      </c>
      <c r="D402" t="s">
        <v>924</v>
      </c>
      <c r="E402" t="s">
        <v>48</v>
      </c>
      <c r="F402">
        <f t="shared" si="25"/>
        <v>43</v>
      </c>
      <c r="G402">
        <v>43</v>
      </c>
      <c r="H402" t="str">
        <f t="shared" si="26"/>
        <v>Male</v>
      </c>
      <c r="I402" t="s">
        <v>59</v>
      </c>
      <c r="J402">
        <f t="shared" si="27"/>
        <v>421245</v>
      </c>
      <c r="K402">
        <v>421245</v>
      </c>
      <c r="L402">
        <f t="shared" si="28"/>
        <v>211793</v>
      </c>
      <c r="M402">
        <v>211793</v>
      </c>
      <c r="N402">
        <v>109090</v>
      </c>
      <c r="O402" t="s">
        <v>23</v>
      </c>
      <c r="P402" t="s">
        <v>24</v>
      </c>
    </row>
    <row r="403" spans="1:16" x14ac:dyDescent="0.3">
      <c r="A403" t="s">
        <v>925</v>
      </c>
      <c r="B403" t="str">
        <f>CONCATENATE(Table1[[#This Row],[First Name]]," ",Table1[[#This Row],[Last Name]])</f>
        <v>Brittany Williams</v>
      </c>
      <c r="C403" t="s">
        <v>53</v>
      </c>
      <c r="D403" t="s">
        <v>751</v>
      </c>
      <c r="E403" t="s">
        <v>14</v>
      </c>
      <c r="F403">
        <f t="shared" si="25"/>
        <v>33</v>
      </c>
      <c r="G403">
        <v>33</v>
      </c>
      <c r="H403" t="str">
        <f t="shared" si="26"/>
        <v>Female</v>
      </c>
      <c r="I403" t="s">
        <v>22</v>
      </c>
      <c r="J403">
        <f t="shared" si="27"/>
        <v>373993</v>
      </c>
      <c r="K403">
        <v>373993</v>
      </c>
      <c r="L403">
        <f t="shared" si="28"/>
        <v>158009</v>
      </c>
      <c r="M403">
        <v>158009</v>
      </c>
      <c r="N403">
        <v>128882</v>
      </c>
      <c r="O403" t="s">
        <v>23</v>
      </c>
      <c r="P403" t="s">
        <v>17</v>
      </c>
    </row>
    <row r="404" spans="1:16" x14ac:dyDescent="0.3">
      <c r="A404" t="s">
        <v>926</v>
      </c>
      <c r="B404" t="str">
        <f>CONCATENATE(Table1[[#This Row],[First Name]]," ",Table1[[#This Row],[Last Name]])</f>
        <v>Alan Wilkinson</v>
      </c>
      <c r="C404" t="s">
        <v>383</v>
      </c>
      <c r="D404" t="s">
        <v>927</v>
      </c>
      <c r="E404" t="s">
        <v>14</v>
      </c>
      <c r="F404">
        <f t="shared" si="25"/>
        <v>58</v>
      </c>
      <c r="G404">
        <v>58</v>
      </c>
      <c r="H404" t="str">
        <f t="shared" si="26"/>
        <v>Female</v>
      </c>
      <c r="I404" t="s">
        <v>22</v>
      </c>
      <c r="J404">
        <f t="shared" si="27"/>
        <v>282383</v>
      </c>
      <c r="K404">
        <v>282383</v>
      </c>
      <c r="L404">
        <f t="shared" si="28"/>
        <v>105971</v>
      </c>
      <c r="M404">
        <v>105971</v>
      </c>
      <c r="N404">
        <v>135782</v>
      </c>
      <c r="O404" t="s">
        <v>16</v>
      </c>
      <c r="P404" t="s">
        <v>24</v>
      </c>
    </row>
    <row r="405" spans="1:16" x14ac:dyDescent="0.3">
      <c r="A405" t="s">
        <v>928</v>
      </c>
      <c r="B405" t="str">
        <f>CONCATENATE(Table1[[#This Row],[First Name]]," ",Table1[[#This Row],[Last Name]])</f>
        <v>Thomas Williams</v>
      </c>
      <c r="C405" t="s">
        <v>116</v>
      </c>
      <c r="D405" t="s">
        <v>751</v>
      </c>
      <c r="E405" t="s">
        <v>48</v>
      </c>
      <c r="F405">
        <f t="shared" si="25"/>
        <v>34</v>
      </c>
      <c r="G405">
        <v>34</v>
      </c>
      <c r="H405" t="str">
        <f t="shared" si="26"/>
        <v>Female</v>
      </c>
      <c r="I405" t="s">
        <v>22</v>
      </c>
      <c r="J405">
        <f t="shared" si="27"/>
        <v>158930</v>
      </c>
      <c r="K405">
        <v>158930</v>
      </c>
      <c r="L405">
        <f t="shared" si="28"/>
        <v>85027</v>
      </c>
      <c r="M405">
        <v>85027</v>
      </c>
      <c r="N405">
        <v>108391</v>
      </c>
      <c r="O405" t="s">
        <v>23</v>
      </c>
      <c r="P405" t="s">
        <v>24</v>
      </c>
    </row>
    <row r="406" spans="1:16" x14ac:dyDescent="0.3">
      <c r="A406" t="s">
        <v>929</v>
      </c>
      <c r="B406" t="str">
        <f>CONCATENATE(Table1[[#This Row],[First Name]]," ",Table1[[#This Row],[Last Name]])</f>
        <v>Diana Thompson</v>
      </c>
      <c r="C406" t="s">
        <v>356</v>
      </c>
      <c r="D406" t="s">
        <v>148</v>
      </c>
      <c r="E406" t="s">
        <v>48</v>
      </c>
      <c r="F406">
        <f t="shared" si="25"/>
        <v>59</v>
      </c>
      <c r="G406">
        <v>59</v>
      </c>
      <c r="H406" t="str">
        <f t="shared" si="26"/>
        <v>Male</v>
      </c>
      <c r="I406" t="s">
        <v>59</v>
      </c>
      <c r="J406">
        <f t="shared" si="27"/>
        <v>258094</v>
      </c>
      <c r="K406">
        <v>258094</v>
      </c>
      <c r="L406">
        <f t="shared" si="28"/>
        <v>285919</v>
      </c>
      <c r="M406">
        <v>285919</v>
      </c>
      <c r="N406">
        <v>85634</v>
      </c>
      <c r="O406" t="s">
        <v>16</v>
      </c>
      <c r="P406" t="s">
        <v>24</v>
      </c>
    </row>
    <row r="407" spans="1:16" x14ac:dyDescent="0.3">
      <c r="A407" t="s">
        <v>930</v>
      </c>
      <c r="B407" t="str">
        <f>CONCATENATE(Table1[[#This Row],[First Name]]," ",Table1[[#This Row],[Last Name]])</f>
        <v>Barbara Gomez</v>
      </c>
      <c r="C407" t="s">
        <v>931</v>
      </c>
      <c r="D407" t="s">
        <v>932</v>
      </c>
      <c r="E407" t="s">
        <v>21</v>
      </c>
      <c r="F407">
        <f t="shared" si="25"/>
        <v>45</v>
      </c>
      <c r="G407">
        <v>45</v>
      </c>
      <c r="H407" t="str">
        <f t="shared" si="26"/>
        <v>Female</v>
      </c>
      <c r="I407" t="s">
        <v>22</v>
      </c>
      <c r="J407">
        <f t="shared" si="27"/>
        <v>167764</v>
      </c>
      <c r="K407">
        <v>167764</v>
      </c>
      <c r="L407">
        <f t="shared" si="28"/>
        <v>223982</v>
      </c>
      <c r="M407">
        <v>223982</v>
      </c>
      <c r="N407">
        <v>138849</v>
      </c>
      <c r="O407" t="s">
        <v>33</v>
      </c>
      <c r="P407" t="s">
        <v>24</v>
      </c>
    </row>
    <row r="408" spans="1:16" x14ac:dyDescent="0.3">
      <c r="A408" t="s">
        <v>933</v>
      </c>
      <c r="B408" t="str">
        <f>CONCATENATE(Table1[[#This Row],[First Name]]," ",Table1[[#This Row],[Last Name]])</f>
        <v>Alexander Mitchell</v>
      </c>
      <c r="C408" t="s">
        <v>934</v>
      </c>
      <c r="D408" t="s">
        <v>935</v>
      </c>
      <c r="E408" t="s">
        <v>21</v>
      </c>
      <c r="F408">
        <f t="shared" si="25"/>
        <v>47</v>
      </c>
      <c r="G408">
        <v>47</v>
      </c>
      <c r="H408" t="str">
        <f t="shared" si="26"/>
        <v>Male</v>
      </c>
      <c r="I408" t="s">
        <v>59</v>
      </c>
      <c r="J408">
        <f t="shared" si="27"/>
        <v>363497</v>
      </c>
      <c r="K408">
        <v>363497</v>
      </c>
      <c r="L408" s="2">
        <f t="shared" si="28"/>
        <v>125598.55555555556</v>
      </c>
      <c r="N408">
        <v>138066</v>
      </c>
      <c r="O408" t="s">
        <v>16</v>
      </c>
      <c r="P408" t="s">
        <v>24</v>
      </c>
    </row>
    <row r="409" spans="1:16" x14ac:dyDescent="0.3">
      <c r="A409" t="s">
        <v>936</v>
      </c>
      <c r="B409" t="str">
        <f>CONCATENATE(Table1[[#This Row],[First Name]]," ",Table1[[#This Row],[Last Name]])</f>
        <v>Henry French</v>
      </c>
      <c r="C409" t="s">
        <v>937</v>
      </c>
      <c r="D409" t="s">
        <v>938</v>
      </c>
      <c r="E409" t="s">
        <v>48</v>
      </c>
      <c r="F409">
        <f t="shared" si="25"/>
        <v>44</v>
      </c>
      <c r="G409">
        <v>44</v>
      </c>
      <c r="H409" t="str">
        <f t="shared" si="26"/>
        <v>Female</v>
      </c>
      <c r="I409" t="s">
        <v>22</v>
      </c>
      <c r="J409">
        <f t="shared" si="27"/>
        <v>72208</v>
      </c>
      <c r="K409">
        <v>72208</v>
      </c>
      <c r="L409">
        <f t="shared" si="28"/>
        <v>143371</v>
      </c>
      <c r="M409">
        <v>143371</v>
      </c>
      <c r="N409">
        <v>73110</v>
      </c>
      <c r="O409" t="s">
        <v>33</v>
      </c>
      <c r="P409" t="s">
        <v>24</v>
      </c>
    </row>
    <row r="410" spans="1:16" x14ac:dyDescent="0.3">
      <c r="A410" t="s">
        <v>939</v>
      </c>
      <c r="B410" t="str">
        <f>CONCATENATE(Table1[[#This Row],[First Name]]," ",Table1[[#This Row],[Last Name]])</f>
        <v>Shawn Powell</v>
      </c>
      <c r="C410" t="s">
        <v>606</v>
      </c>
      <c r="D410" t="s">
        <v>183</v>
      </c>
      <c r="E410" t="s">
        <v>21</v>
      </c>
      <c r="F410">
        <f t="shared" si="25"/>
        <v>46</v>
      </c>
      <c r="G410">
        <v>46</v>
      </c>
      <c r="H410" t="str">
        <f t="shared" si="26"/>
        <v>Unknown</v>
      </c>
      <c r="J410" s="2">
        <f t="shared" si="27"/>
        <v>252076.51219512196</v>
      </c>
      <c r="L410">
        <f t="shared" si="28"/>
        <v>248838</v>
      </c>
      <c r="M410">
        <v>248838</v>
      </c>
      <c r="N410">
        <v>118491</v>
      </c>
      <c r="O410" t="s">
        <v>23</v>
      </c>
      <c r="P410" t="s">
        <v>24</v>
      </c>
    </row>
    <row r="411" spans="1:16" x14ac:dyDescent="0.3">
      <c r="A411" t="s">
        <v>940</v>
      </c>
      <c r="B411" t="str">
        <f>CONCATENATE(Table1[[#This Row],[First Name]]," ",Table1[[#This Row],[Last Name]])</f>
        <v>Andrew Mcdaniel</v>
      </c>
      <c r="C411" t="s">
        <v>188</v>
      </c>
      <c r="D411" t="s">
        <v>941</v>
      </c>
      <c r="E411" t="s">
        <v>21</v>
      </c>
      <c r="F411">
        <f t="shared" si="25"/>
        <v>30</v>
      </c>
      <c r="G411">
        <v>30</v>
      </c>
      <c r="H411" t="str">
        <f t="shared" si="26"/>
        <v>Female</v>
      </c>
      <c r="I411" t="s">
        <v>22</v>
      </c>
      <c r="J411">
        <f t="shared" si="27"/>
        <v>374240</v>
      </c>
      <c r="K411">
        <v>374240</v>
      </c>
      <c r="L411">
        <f t="shared" si="28"/>
        <v>293646</v>
      </c>
      <c r="M411">
        <v>293646</v>
      </c>
      <c r="N411">
        <v>72554</v>
      </c>
      <c r="O411" t="s">
        <v>33</v>
      </c>
      <c r="P411" t="s">
        <v>24</v>
      </c>
    </row>
    <row r="412" spans="1:16" x14ac:dyDescent="0.3">
      <c r="A412" t="s">
        <v>942</v>
      </c>
      <c r="B412" t="str">
        <f>CONCATENATE(Table1[[#This Row],[First Name]]," ",Table1[[#This Row],[Last Name]])</f>
        <v>Destiny Gonzalez</v>
      </c>
      <c r="C412" t="s">
        <v>943</v>
      </c>
      <c r="D412" t="s">
        <v>157</v>
      </c>
      <c r="E412" t="s">
        <v>44</v>
      </c>
      <c r="F412">
        <f t="shared" si="25"/>
        <v>49</v>
      </c>
      <c r="G412">
        <v>49</v>
      </c>
      <c r="H412" t="str">
        <f t="shared" si="26"/>
        <v>Male</v>
      </c>
      <c r="I412" t="s">
        <v>59</v>
      </c>
      <c r="J412">
        <f t="shared" si="27"/>
        <v>440433</v>
      </c>
      <c r="K412">
        <v>440433</v>
      </c>
      <c r="L412" s="2">
        <f t="shared" si="28"/>
        <v>140398.72727272726</v>
      </c>
      <c r="N412">
        <v>11138</v>
      </c>
      <c r="O412" t="s">
        <v>23</v>
      </c>
      <c r="P412" t="s">
        <v>24</v>
      </c>
    </row>
    <row r="413" spans="1:16" x14ac:dyDescent="0.3">
      <c r="A413" t="s">
        <v>944</v>
      </c>
      <c r="B413" t="str">
        <f>CONCATENATE(Table1[[#This Row],[First Name]]," ",Table1[[#This Row],[Last Name]])</f>
        <v>Mary Brown</v>
      </c>
      <c r="C413" t="s">
        <v>457</v>
      </c>
      <c r="D413" t="s">
        <v>89</v>
      </c>
      <c r="E413" t="s">
        <v>14</v>
      </c>
      <c r="F413">
        <f t="shared" si="25"/>
        <v>44</v>
      </c>
      <c r="G413">
        <v>44</v>
      </c>
      <c r="H413" t="str">
        <f t="shared" si="26"/>
        <v>Male</v>
      </c>
      <c r="I413" t="s">
        <v>59</v>
      </c>
      <c r="J413" s="2">
        <f t="shared" si="27"/>
        <v>252076.51219512196</v>
      </c>
      <c r="L413">
        <f t="shared" si="28"/>
        <v>91719</v>
      </c>
      <c r="M413">
        <v>91719</v>
      </c>
      <c r="N413">
        <v>97591</v>
      </c>
      <c r="O413" t="s">
        <v>16</v>
      </c>
      <c r="P413" t="s">
        <v>24</v>
      </c>
    </row>
    <row r="414" spans="1:16" x14ac:dyDescent="0.3">
      <c r="A414" t="s">
        <v>945</v>
      </c>
      <c r="B414" t="str">
        <f>CONCATENATE(Table1[[#This Row],[First Name]]," ",Table1[[#This Row],[Last Name]])</f>
        <v>Allison Garcia</v>
      </c>
      <c r="C414" t="s">
        <v>98</v>
      </c>
      <c r="D414" t="s">
        <v>86</v>
      </c>
      <c r="E414" t="s">
        <v>58</v>
      </c>
      <c r="F414">
        <f t="shared" si="25"/>
        <v>27</v>
      </c>
      <c r="G414">
        <v>27</v>
      </c>
      <c r="H414" t="str">
        <f t="shared" si="26"/>
        <v>Female</v>
      </c>
      <c r="I414" t="s">
        <v>22</v>
      </c>
      <c r="J414">
        <f t="shared" si="27"/>
        <v>387597</v>
      </c>
      <c r="K414">
        <v>387597</v>
      </c>
      <c r="L414">
        <f t="shared" si="28"/>
        <v>92401</v>
      </c>
      <c r="M414">
        <v>92401</v>
      </c>
      <c r="N414">
        <v>40679</v>
      </c>
      <c r="O414" t="s">
        <v>16</v>
      </c>
      <c r="P414" t="s">
        <v>24</v>
      </c>
    </row>
    <row r="415" spans="1:16" x14ac:dyDescent="0.3">
      <c r="A415" t="s">
        <v>946</v>
      </c>
      <c r="B415" t="str">
        <f>CONCATENATE(Table1[[#This Row],[First Name]]," ",Table1[[#This Row],[Last Name]])</f>
        <v>Paul Gomez</v>
      </c>
      <c r="C415" t="s">
        <v>375</v>
      </c>
      <c r="D415" t="s">
        <v>932</v>
      </c>
      <c r="E415" t="s">
        <v>58</v>
      </c>
      <c r="F415">
        <f t="shared" si="25"/>
        <v>28</v>
      </c>
      <c r="G415">
        <v>28</v>
      </c>
      <c r="H415" t="str">
        <f t="shared" si="26"/>
        <v>Male</v>
      </c>
      <c r="I415" t="s">
        <v>59</v>
      </c>
      <c r="J415">
        <f t="shared" si="27"/>
        <v>482088</v>
      </c>
      <c r="K415">
        <v>482088</v>
      </c>
      <c r="L415">
        <f t="shared" si="28"/>
        <v>156740</v>
      </c>
      <c r="M415">
        <v>156740</v>
      </c>
      <c r="N415">
        <v>34917</v>
      </c>
      <c r="O415" t="s">
        <v>16</v>
      </c>
      <c r="P415" t="s">
        <v>17</v>
      </c>
    </row>
    <row r="416" spans="1:16" x14ac:dyDescent="0.3">
      <c r="A416" t="s">
        <v>947</v>
      </c>
      <c r="B416" t="str">
        <f>CONCATENATE(Table1[[#This Row],[First Name]]," ",Table1[[#This Row],[Last Name]])</f>
        <v>Marie Brown</v>
      </c>
      <c r="C416" t="s">
        <v>793</v>
      </c>
      <c r="D416" t="s">
        <v>89</v>
      </c>
      <c r="E416" t="s">
        <v>58</v>
      </c>
      <c r="F416">
        <f t="shared" si="25"/>
        <v>53</v>
      </c>
      <c r="G416">
        <v>53</v>
      </c>
      <c r="H416" t="str">
        <f t="shared" si="26"/>
        <v>Male</v>
      </c>
      <c r="I416" t="s">
        <v>59</v>
      </c>
      <c r="J416">
        <f t="shared" si="27"/>
        <v>393788</v>
      </c>
      <c r="K416">
        <v>393788</v>
      </c>
      <c r="L416">
        <f t="shared" si="28"/>
        <v>116430</v>
      </c>
      <c r="M416">
        <v>116430</v>
      </c>
      <c r="N416">
        <v>129078</v>
      </c>
      <c r="O416" t="s">
        <v>23</v>
      </c>
      <c r="P416" t="s">
        <v>24</v>
      </c>
    </row>
    <row r="417" spans="1:16" x14ac:dyDescent="0.3">
      <c r="A417" t="s">
        <v>948</v>
      </c>
      <c r="B417" t="str">
        <f>CONCATENATE(Table1[[#This Row],[First Name]]," ",Table1[[#This Row],[Last Name]])</f>
        <v>Stephen Collins</v>
      </c>
      <c r="C417" t="s">
        <v>197</v>
      </c>
      <c r="D417" t="s">
        <v>83</v>
      </c>
      <c r="E417" t="s">
        <v>48</v>
      </c>
      <c r="F417">
        <f t="shared" si="25"/>
        <v>27</v>
      </c>
      <c r="G417">
        <v>27</v>
      </c>
      <c r="H417" t="str">
        <f t="shared" si="26"/>
        <v>Female</v>
      </c>
      <c r="I417" t="s">
        <v>22</v>
      </c>
      <c r="J417">
        <f t="shared" si="27"/>
        <v>490489</v>
      </c>
      <c r="K417">
        <v>490489</v>
      </c>
      <c r="L417">
        <f t="shared" si="28"/>
        <v>82193</v>
      </c>
      <c r="M417">
        <v>82193</v>
      </c>
      <c r="N417">
        <v>129796</v>
      </c>
      <c r="O417" t="s">
        <v>16</v>
      </c>
      <c r="P417" t="s">
        <v>24</v>
      </c>
    </row>
    <row r="418" spans="1:16" x14ac:dyDescent="0.3">
      <c r="A418" t="s">
        <v>949</v>
      </c>
      <c r="B418" t="str">
        <f>CONCATENATE(Table1[[#This Row],[First Name]]," ",Table1[[#This Row],[Last Name]])</f>
        <v>Taylor Dominguez</v>
      </c>
      <c r="C418" t="s">
        <v>469</v>
      </c>
      <c r="D418" t="s">
        <v>950</v>
      </c>
      <c r="E418" t="s">
        <v>48</v>
      </c>
      <c r="F418">
        <f t="shared" si="25"/>
        <v>42</v>
      </c>
      <c r="G418">
        <v>42</v>
      </c>
      <c r="H418" t="str">
        <f t="shared" si="26"/>
        <v>Unknown</v>
      </c>
      <c r="J418">
        <f t="shared" si="27"/>
        <v>457798</v>
      </c>
      <c r="K418">
        <v>457798</v>
      </c>
      <c r="L418">
        <f t="shared" si="28"/>
        <v>108281</v>
      </c>
      <c r="M418">
        <v>108281</v>
      </c>
      <c r="N418">
        <v>44389</v>
      </c>
      <c r="O418" t="s">
        <v>33</v>
      </c>
      <c r="P418" t="s">
        <v>17</v>
      </c>
    </row>
    <row r="419" spans="1:16" x14ac:dyDescent="0.3">
      <c r="A419" t="s">
        <v>951</v>
      </c>
      <c r="B419" t="str">
        <f>CONCATENATE(Table1[[#This Row],[First Name]]," ",Table1[[#This Row],[Last Name]])</f>
        <v>Sergio Rivera</v>
      </c>
      <c r="C419" t="s">
        <v>952</v>
      </c>
      <c r="D419" t="s">
        <v>953</v>
      </c>
      <c r="E419" t="s">
        <v>21</v>
      </c>
      <c r="F419">
        <f t="shared" si="25"/>
        <v>22</v>
      </c>
      <c r="G419">
        <v>22</v>
      </c>
      <c r="H419" t="str">
        <f t="shared" si="26"/>
        <v>Male</v>
      </c>
      <c r="I419" t="s">
        <v>59</v>
      </c>
      <c r="J419">
        <f t="shared" si="27"/>
        <v>335021</v>
      </c>
      <c r="K419">
        <v>335021</v>
      </c>
      <c r="L419">
        <f t="shared" si="28"/>
        <v>189636</v>
      </c>
      <c r="M419">
        <v>189636</v>
      </c>
      <c r="N419">
        <v>78592</v>
      </c>
      <c r="O419" t="s">
        <v>23</v>
      </c>
      <c r="P419" t="s">
        <v>17</v>
      </c>
    </row>
    <row r="420" spans="1:16" x14ac:dyDescent="0.3">
      <c r="A420" t="s">
        <v>954</v>
      </c>
      <c r="B420" t="str">
        <f>CONCATENATE(Table1[[#This Row],[First Name]]," ",Table1[[#This Row],[Last Name]])</f>
        <v>Jesse Patrick</v>
      </c>
      <c r="C420" t="s">
        <v>955</v>
      </c>
      <c r="D420" t="s">
        <v>390</v>
      </c>
      <c r="E420" t="s">
        <v>21</v>
      </c>
      <c r="F420" s="2">
        <f t="shared" si="25"/>
        <v>39.868583162217661</v>
      </c>
      <c r="H420" t="str">
        <f t="shared" si="26"/>
        <v>Male</v>
      </c>
      <c r="I420" t="s">
        <v>59</v>
      </c>
      <c r="J420">
        <f t="shared" si="27"/>
        <v>3120</v>
      </c>
      <c r="K420">
        <v>3120</v>
      </c>
      <c r="L420">
        <f t="shared" si="28"/>
        <v>60865</v>
      </c>
      <c r="M420">
        <v>60865</v>
      </c>
      <c r="N420">
        <v>55781</v>
      </c>
      <c r="O420" t="s">
        <v>23</v>
      </c>
      <c r="P420" t="s">
        <v>17</v>
      </c>
    </row>
    <row r="421" spans="1:16" x14ac:dyDescent="0.3">
      <c r="A421" t="s">
        <v>956</v>
      </c>
      <c r="B421" t="str">
        <f>CONCATENATE(Table1[[#This Row],[First Name]]," ",Table1[[#This Row],[Last Name]])</f>
        <v>David Kennedy</v>
      </c>
      <c r="C421" t="s">
        <v>113</v>
      </c>
      <c r="D421" t="s">
        <v>275</v>
      </c>
      <c r="E421" t="s">
        <v>14</v>
      </c>
      <c r="F421">
        <f t="shared" si="25"/>
        <v>51</v>
      </c>
      <c r="G421">
        <v>51</v>
      </c>
      <c r="H421" t="str">
        <f t="shared" si="26"/>
        <v>Female</v>
      </c>
      <c r="I421" t="s">
        <v>22</v>
      </c>
      <c r="J421">
        <f t="shared" si="27"/>
        <v>270148</v>
      </c>
      <c r="K421">
        <v>270148</v>
      </c>
      <c r="L421">
        <f t="shared" si="28"/>
        <v>147407</v>
      </c>
      <c r="M421">
        <v>147407</v>
      </c>
      <c r="N421">
        <v>86190</v>
      </c>
      <c r="O421" t="s">
        <v>16</v>
      </c>
      <c r="P421" t="s">
        <v>24</v>
      </c>
    </row>
    <row r="422" spans="1:16" x14ac:dyDescent="0.3">
      <c r="A422" t="s">
        <v>957</v>
      </c>
      <c r="B422" t="str">
        <f>CONCATENATE(Table1[[#This Row],[First Name]]," ",Table1[[#This Row],[Last Name]])</f>
        <v>George Robinson</v>
      </c>
      <c r="C422" t="s">
        <v>380</v>
      </c>
      <c r="D422" t="s">
        <v>665</v>
      </c>
      <c r="E422" t="s">
        <v>58</v>
      </c>
      <c r="F422">
        <f t="shared" si="25"/>
        <v>51</v>
      </c>
      <c r="G422">
        <v>51</v>
      </c>
      <c r="H422" t="str">
        <f t="shared" si="26"/>
        <v>Male</v>
      </c>
      <c r="I422" t="s">
        <v>59</v>
      </c>
      <c r="J422">
        <f t="shared" si="27"/>
        <v>384139</v>
      </c>
      <c r="K422">
        <v>384139</v>
      </c>
      <c r="L422">
        <f t="shared" si="28"/>
        <v>265224</v>
      </c>
      <c r="M422">
        <v>265224</v>
      </c>
      <c r="N422">
        <v>143410</v>
      </c>
      <c r="O422" t="s">
        <v>23</v>
      </c>
      <c r="P422" t="s">
        <v>17</v>
      </c>
    </row>
    <row r="423" spans="1:16" x14ac:dyDescent="0.3">
      <c r="A423" t="s">
        <v>958</v>
      </c>
      <c r="B423" t="str">
        <f>CONCATENATE(Table1[[#This Row],[First Name]]," ",Table1[[#This Row],[Last Name]])</f>
        <v>Kendra Parrish</v>
      </c>
      <c r="C423" t="s">
        <v>324</v>
      </c>
      <c r="D423" t="s">
        <v>959</v>
      </c>
      <c r="E423" t="s">
        <v>44</v>
      </c>
      <c r="F423">
        <f t="shared" si="25"/>
        <v>51</v>
      </c>
      <c r="G423">
        <v>51</v>
      </c>
      <c r="H423" t="str">
        <f t="shared" si="26"/>
        <v>Female</v>
      </c>
      <c r="I423" t="s">
        <v>22</v>
      </c>
      <c r="J423">
        <f t="shared" si="27"/>
        <v>156167</v>
      </c>
      <c r="K423">
        <v>156167</v>
      </c>
      <c r="L423">
        <f t="shared" si="28"/>
        <v>122203</v>
      </c>
      <c r="M423">
        <v>122203</v>
      </c>
      <c r="N423">
        <v>89240</v>
      </c>
      <c r="O423" t="s">
        <v>16</v>
      </c>
      <c r="P423" t="s">
        <v>24</v>
      </c>
    </row>
    <row r="424" spans="1:16" x14ac:dyDescent="0.3">
      <c r="A424" t="s">
        <v>960</v>
      </c>
      <c r="B424" t="str">
        <f>CONCATENATE(Table1[[#This Row],[First Name]]," ",Table1[[#This Row],[Last Name]])</f>
        <v>Carolyn Rosales</v>
      </c>
      <c r="C424" t="s">
        <v>961</v>
      </c>
      <c r="D424" t="s">
        <v>962</v>
      </c>
      <c r="E424" t="s">
        <v>58</v>
      </c>
      <c r="F424">
        <f t="shared" si="25"/>
        <v>54</v>
      </c>
      <c r="G424">
        <v>54</v>
      </c>
      <c r="H424" t="str">
        <f t="shared" si="26"/>
        <v>Male</v>
      </c>
      <c r="I424" t="s">
        <v>59</v>
      </c>
      <c r="J424">
        <f t="shared" si="27"/>
        <v>341982</v>
      </c>
      <c r="K424">
        <v>341982</v>
      </c>
      <c r="L424">
        <f t="shared" si="28"/>
        <v>49399</v>
      </c>
      <c r="M424">
        <v>49399</v>
      </c>
      <c r="N424">
        <v>80710</v>
      </c>
      <c r="O424" t="s">
        <v>16</v>
      </c>
      <c r="P424" t="s">
        <v>17</v>
      </c>
    </row>
    <row r="425" spans="1:16" x14ac:dyDescent="0.3">
      <c r="A425" t="s">
        <v>963</v>
      </c>
      <c r="B425" t="str">
        <f>CONCATENATE(Table1[[#This Row],[First Name]]," ",Table1[[#This Row],[Last Name]])</f>
        <v>Jessica Ross</v>
      </c>
      <c r="C425" t="s">
        <v>369</v>
      </c>
      <c r="D425" t="s">
        <v>290</v>
      </c>
      <c r="E425" t="s">
        <v>48</v>
      </c>
      <c r="F425">
        <f t="shared" si="25"/>
        <v>54</v>
      </c>
      <c r="G425">
        <v>54</v>
      </c>
      <c r="H425" t="str">
        <f t="shared" si="26"/>
        <v>Male</v>
      </c>
      <c r="I425" t="s">
        <v>59</v>
      </c>
      <c r="J425">
        <f t="shared" si="27"/>
        <v>145773</v>
      </c>
      <c r="K425">
        <v>145773</v>
      </c>
      <c r="L425">
        <f t="shared" si="28"/>
        <v>222329</v>
      </c>
      <c r="M425">
        <v>222329</v>
      </c>
      <c r="N425">
        <v>64379</v>
      </c>
      <c r="O425" t="s">
        <v>16</v>
      </c>
      <c r="P425" t="s">
        <v>17</v>
      </c>
    </row>
    <row r="426" spans="1:16" x14ac:dyDescent="0.3">
      <c r="A426" t="s">
        <v>964</v>
      </c>
      <c r="B426" t="str">
        <f>CONCATENATE(Table1[[#This Row],[First Name]]," ",Table1[[#This Row],[Last Name]])</f>
        <v>Christian Smith</v>
      </c>
      <c r="C426" t="s">
        <v>919</v>
      </c>
      <c r="D426" t="s">
        <v>62</v>
      </c>
      <c r="E426" t="s">
        <v>58</v>
      </c>
      <c r="F426">
        <f t="shared" si="25"/>
        <v>42</v>
      </c>
      <c r="G426">
        <v>42</v>
      </c>
      <c r="H426" t="str">
        <f t="shared" si="26"/>
        <v>Male</v>
      </c>
      <c r="I426" t="s">
        <v>59</v>
      </c>
      <c r="J426">
        <f t="shared" si="27"/>
        <v>462970</v>
      </c>
      <c r="K426">
        <v>462970</v>
      </c>
      <c r="L426">
        <f t="shared" si="28"/>
        <v>114807</v>
      </c>
      <c r="M426">
        <v>114807</v>
      </c>
      <c r="N426">
        <v>35741</v>
      </c>
      <c r="O426" t="s">
        <v>16</v>
      </c>
      <c r="P426" t="s">
        <v>17</v>
      </c>
    </row>
    <row r="427" spans="1:16" x14ac:dyDescent="0.3">
      <c r="A427" t="s">
        <v>965</v>
      </c>
      <c r="B427" t="str">
        <f>CONCATENATE(Table1[[#This Row],[First Name]]," ",Table1[[#This Row],[Last Name]])</f>
        <v>Dana White</v>
      </c>
      <c r="C427" t="s">
        <v>167</v>
      </c>
      <c r="D427" t="s">
        <v>93</v>
      </c>
      <c r="E427" t="s">
        <v>44</v>
      </c>
      <c r="F427">
        <f t="shared" si="25"/>
        <v>30</v>
      </c>
      <c r="G427">
        <v>30</v>
      </c>
      <c r="H427" t="str">
        <f t="shared" si="26"/>
        <v>Unknown</v>
      </c>
      <c r="J427">
        <f t="shared" si="27"/>
        <v>433730</v>
      </c>
      <c r="K427">
        <v>433730</v>
      </c>
      <c r="L427">
        <f t="shared" si="28"/>
        <v>79679</v>
      </c>
      <c r="M427">
        <v>79679</v>
      </c>
      <c r="N427">
        <v>90098</v>
      </c>
      <c r="O427" t="s">
        <v>23</v>
      </c>
      <c r="P427" t="s">
        <v>24</v>
      </c>
    </row>
    <row r="428" spans="1:16" x14ac:dyDescent="0.3">
      <c r="A428" t="s">
        <v>966</v>
      </c>
      <c r="B428" t="str">
        <f>CONCATENATE(Table1[[#This Row],[First Name]]," ",Table1[[#This Row],[Last Name]])</f>
        <v>John Zimmerman</v>
      </c>
      <c r="C428" t="s">
        <v>80</v>
      </c>
      <c r="D428" t="s">
        <v>431</v>
      </c>
      <c r="E428" t="s">
        <v>21</v>
      </c>
      <c r="F428">
        <f t="shared" si="25"/>
        <v>52</v>
      </c>
      <c r="G428">
        <v>52</v>
      </c>
      <c r="H428" t="str">
        <f t="shared" si="26"/>
        <v>Female</v>
      </c>
      <c r="I428" t="s">
        <v>22</v>
      </c>
      <c r="J428">
        <f t="shared" si="27"/>
        <v>244150</v>
      </c>
      <c r="K428">
        <v>244150</v>
      </c>
      <c r="L428">
        <f t="shared" si="28"/>
        <v>95455</v>
      </c>
      <c r="M428">
        <v>95455</v>
      </c>
      <c r="N428">
        <v>131429</v>
      </c>
      <c r="O428" t="s">
        <v>33</v>
      </c>
      <c r="P428" t="s">
        <v>17</v>
      </c>
    </row>
    <row r="429" spans="1:16" x14ac:dyDescent="0.3">
      <c r="A429" t="s">
        <v>967</v>
      </c>
      <c r="B429" t="str">
        <f>CONCATENATE(Table1[[#This Row],[First Name]]," ",Table1[[#This Row],[Last Name]])</f>
        <v>David Rodgers</v>
      </c>
      <c r="C429" t="s">
        <v>113</v>
      </c>
      <c r="D429" t="s">
        <v>968</v>
      </c>
      <c r="E429" t="s">
        <v>48</v>
      </c>
      <c r="F429">
        <f t="shared" si="25"/>
        <v>38</v>
      </c>
      <c r="G429">
        <v>38</v>
      </c>
      <c r="H429" t="str">
        <f t="shared" si="26"/>
        <v>Unknown</v>
      </c>
      <c r="J429">
        <f t="shared" si="27"/>
        <v>26949</v>
      </c>
      <c r="K429">
        <v>26949</v>
      </c>
      <c r="L429">
        <f t="shared" si="28"/>
        <v>113838</v>
      </c>
      <c r="M429">
        <v>113838</v>
      </c>
      <c r="N429">
        <v>10347</v>
      </c>
      <c r="O429" t="s">
        <v>33</v>
      </c>
      <c r="P429" t="s">
        <v>24</v>
      </c>
    </row>
    <row r="430" spans="1:16" x14ac:dyDescent="0.3">
      <c r="A430" t="s">
        <v>969</v>
      </c>
      <c r="B430" t="str">
        <f>CONCATENATE(Table1[[#This Row],[First Name]]," ",Table1[[#This Row],[Last Name]])</f>
        <v>Susan Cox</v>
      </c>
      <c r="C430" t="s">
        <v>317</v>
      </c>
      <c r="D430" t="s">
        <v>558</v>
      </c>
      <c r="E430" t="s">
        <v>48</v>
      </c>
      <c r="F430">
        <f t="shared" si="25"/>
        <v>53</v>
      </c>
      <c r="G430">
        <v>53</v>
      </c>
      <c r="H430" t="str">
        <f t="shared" si="26"/>
        <v>Male</v>
      </c>
      <c r="I430" t="s">
        <v>59</v>
      </c>
      <c r="J430">
        <f t="shared" si="27"/>
        <v>384132</v>
      </c>
      <c r="K430">
        <v>384132</v>
      </c>
      <c r="L430">
        <f t="shared" si="28"/>
        <v>101988</v>
      </c>
      <c r="M430">
        <v>101988</v>
      </c>
      <c r="N430">
        <v>70297</v>
      </c>
      <c r="O430" t="s">
        <v>16</v>
      </c>
      <c r="P430" t="s">
        <v>24</v>
      </c>
    </row>
    <row r="431" spans="1:16" x14ac:dyDescent="0.3">
      <c r="A431" t="s">
        <v>970</v>
      </c>
      <c r="B431" t="str">
        <f>CONCATENATE(Table1[[#This Row],[First Name]]," ",Table1[[#This Row],[Last Name]])</f>
        <v>John Taylor</v>
      </c>
      <c r="C431" t="s">
        <v>80</v>
      </c>
      <c r="D431" t="s">
        <v>469</v>
      </c>
      <c r="E431" t="s">
        <v>14</v>
      </c>
      <c r="F431">
        <f t="shared" si="25"/>
        <v>28</v>
      </c>
      <c r="G431">
        <v>28</v>
      </c>
      <c r="H431" t="str">
        <f t="shared" si="26"/>
        <v>Male</v>
      </c>
      <c r="I431" t="s">
        <v>59</v>
      </c>
      <c r="J431">
        <f t="shared" si="27"/>
        <v>233988</v>
      </c>
      <c r="K431">
        <v>233988</v>
      </c>
      <c r="L431">
        <f t="shared" si="28"/>
        <v>76289</v>
      </c>
      <c r="M431">
        <v>76289</v>
      </c>
      <c r="N431">
        <v>83238</v>
      </c>
      <c r="O431" t="s">
        <v>16</v>
      </c>
      <c r="P431" t="s">
        <v>24</v>
      </c>
    </row>
    <row r="432" spans="1:16" x14ac:dyDescent="0.3">
      <c r="A432" t="s">
        <v>971</v>
      </c>
      <c r="B432" t="str">
        <f>CONCATENATE(Table1[[#This Row],[First Name]]," ",Table1[[#This Row],[Last Name]])</f>
        <v>Sarah Murray</v>
      </c>
      <c r="C432" t="s">
        <v>643</v>
      </c>
      <c r="D432" t="s">
        <v>972</v>
      </c>
      <c r="E432" t="s">
        <v>21</v>
      </c>
      <c r="F432" s="2">
        <f t="shared" si="25"/>
        <v>39.868583162217661</v>
      </c>
      <c r="H432" t="str">
        <f t="shared" si="26"/>
        <v>Unknown</v>
      </c>
      <c r="J432">
        <f t="shared" si="27"/>
        <v>425750</v>
      </c>
      <c r="K432">
        <v>425750</v>
      </c>
      <c r="L432">
        <f t="shared" si="28"/>
        <v>23446</v>
      </c>
      <c r="M432">
        <v>23446</v>
      </c>
      <c r="N432">
        <v>42723</v>
      </c>
      <c r="O432" t="s">
        <v>23</v>
      </c>
      <c r="P432" t="s">
        <v>17</v>
      </c>
    </row>
    <row r="433" spans="1:16" x14ac:dyDescent="0.3">
      <c r="A433" t="s">
        <v>973</v>
      </c>
      <c r="B433" t="str">
        <f>CONCATENATE(Table1[[#This Row],[First Name]]," ",Table1[[#This Row],[Last Name]])</f>
        <v>Candace Jenkins</v>
      </c>
      <c r="C433" t="s">
        <v>419</v>
      </c>
      <c r="D433" t="s">
        <v>974</v>
      </c>
      <c r="E433" t="s">
        <v>44</v>
      </c>
      <c r="F433">
        <f t="shared" si="25"/>
        <v>54</v>
      </c>
      <c r="G433">
        <v>54</v>
      </c>
      <c r="H433" t="str">
        <f t="shared" si="26"/>
        <v>Female</v>
      </c>
      <c r="I433" t="s">
        <v>22</v>
      </c>
      <c r="J433">
        <f t="shared" si="27"/>
        <v>476633</v>
      </c>
      <c r="K433">
        <v>476633</v>
      </c>
      <c r="L433">
        <f t="shared" si="28"/>
        <v>194437</v>
      </c>
      <c r="M433">
        <v>194437</v>
      </c>
      <c r="N433">
        <v>68861</v>
      </c>
      <c r="O433" t="s">
        <v>23</v>
      </c>
      <c r="P433" t="s">
        <v>24</v>
      </c>
    </row>
    <row r="434" spans="1:16" x14ac:dyDescent="0.3">
      <c r="A434" t="s">
        <v>975</v>
      </c>
      <c r="B434" t="str">
        <f>CONCATENATE(Table1[[#This Row],[First Name]]," ",Table1[[#This Row],[Last Name]])</f>
        <v>Matthew Roberts</v>
      </c>
      <c r="C434" t="s">
        <v>386</v>
      </c>
      <c r="D434" t="s">
        <v>295</v>
      </c>
      <c r="E434" t="s">
        <v>21</v>
      </c>
      <c r="F434">
        <f t="shared" si="25"/>
        <v>30</v>
      </c>
      <c r="G434">
        <v>30</v>
      </c>
      <c r="H434" t="str">
        <f t="shared" si="26"/>
        <v>Male</v>
      </c>
      <c r="I434" t="s">
        <v>59</v>
      </c>
      <c r="J434">
        <f t="shared" si="27"/>
        <v>118089</v>
      </c>
      <c r="K434">
        <v>118089</v>
      </c>
      <c r="L434">
        <f t="shared" si="28"/>
        <v>284184</v>
      </c>
      <c r="M434">
        <v>284184</v>
      </c>
      <c r="N434">
        <v>50039</v>
      </c>
      <c r="O434" t="s">
        <v>16</v>
      </c>
      <c r="P434" t="s">
        <v>24</v>
      </c>
    </row>
    <row r="435" spans="1:16" x14ac:dyDescent="0.3">
      <c r="A435" t="s">
        <v>976</v>
      </c>
      <c r="B435" t="str">
        <f>CONCATENATE(Table1[[#This Row],[First Name]]," ",Table1[[#This Row],[Last Name]])</f>
        <v>Lauren Macias</v>
      </c>
      <c r="C435" t="s">
        <v>658</v>
      </c>
      <c r="D435" t="s">
        <v>977</v>
      </c>
      <c r="E435" t="s">
        <v>14</v>
      </c>
      <c r="F435">
        <f t="shared" si="25"/>
        <v>29</v>
      </c>
      <c r="G435">
        <v>29</v>
      </c>
      <c r="H435" t="str">
        <f t="shared" si="26"/>
        <v>Male</v>
      </c>
      <c r="I435" t="s">
        <v>59</v>
      </c>
      <c r="J435">
        <f t="shared" si="27"/>
        <v>498913</v>
      </c>
      <c r="K435">
        <v>498913</v>
      </c>
      <c r="L435">
        <f t="shared" si="28"/>
        <v>201506</v>
      </c>
      <c r="M435">
        <v>201506</v>
      </c>
      <c r="N435">
        <v>61392</v>
      </c>
      <c r="O435" t="s">
        <v>33</v>
      </c>
      <c r="P435" t="s">
        <v>17</v>
      </c>
    </row>
    <row r="436" spans="1:16" x14ac:dyDescent="0.3">
      <c r="A436" t="s">
        <v>978</v>
      </c>
      <c r="B436" t="str">
        <f>CONCATENATE(Table1[[#This Row],[First Name]]," ",Table1[[#This Row],[Last Name]])</f>
        <v>Christina Gomez</v>
      </c>
      <c r="C436" t="s">
        <v>613</v>
      </c>
      <c r="D436" t="s">
        <v>932</v>
      </c>
      <c r="E436" t="s">
        <v>58</v>
      </c>
      <c r="F436">
        <f t="shared" si="25"/>
        <v>43</v>
      </c>
      <c r="G436">
        <v>43</v>
      </c>
      <c r="H436" t="str">
        <f t="shared" si="26"/>
        <v>Female</v>
      </c>
      <c r="I436" t="s">
        <v>22</v>
      </c>
      <c r="J436">
        <f t="shared" si="27"/>
        <v>233107</v>
      </c>
      <c r="K436">
        <v>233107</v>
      </c>
      <c r="L436">
        <f t="shared" si="28"/>
        <v>227289</v>
      </c>
      <c r="M436">
        <v>227289</v>
      </c>
      <c r="N436">
        <v>11533</v>
      </c>
      <c r="O436" t="s">
        <v>16</v>
      </c>
      <c r="P436" t="s">
        <v>17</v>
      </c>
    </row>
    <row r="437" spans="1:16" x14ac:dyDescent="0.3">
      <c r="A437" t="s">
        <v>979</v>
      </c>
      <c r="B437" t="str">
        <f>CONCATENATE(Table1[[#This Row],[First Name]]," ",Table1[[#This Row],[Last Name]])</f>
        <v>Kimberly Ball</v>
      </c>
      <c r="C437" t="s">
        <v>599</v>
      </c>
      <c r="D437" t="s">
        <v>980</v>
      </c>
      <c r="E437" t="s">
        <v>14</v>
      </c>
      <c r="F437">
        <f t="shared" si="25"/>
        <v>30</v>
      </c>
      <c r="G437">
        <v>30</v>
      </c>
      <c r="H437" t="str">
        <f t="shared" si="26"/>
        <v>Male</v>
      </c>
      <c r="I437" t="s">
        <v>59</v>
      </c>
      <c r="J437">
        <f t="shared" si="27"/>
        <v>188588</v>
      </c>
      <c r="K437">
        <v>188588</v>
      </c>
      <c r="L437">
        <f t="shared" si="28"/>
        <v>276260</v>
      </c>
      <c r="M437">
        <v>276260</v>
      </c>
      <c r="N437">
        <v>12660</v>
      </c>
      <c r="O437" t="s">
        <v>23</v>
      </c>
      <c r="P437" t="s">
        <v>17</v>
      </c>
    </row>
    <row r="438" spans="1:16" x14ac:dyDescent="0.3">
      <c r="A438" t="s">
        <v>981</v>
      </c>
      <c r="B438" t="str">
        <f>CONCATENATE(Table1[[#This Row],[First Name]]," ",Table1[[#This Row],[Last Name]])</f>
        <v>Michael Williams</v>
      </c>
      <c r="C438" t="s">
        <v>121</v>
      </c>
      <c r="D438" t="s">
        <v>751</v>
      </c>
      <c r="E438" t="s">
        <v>14</v>
      </c>
      <c r="F438">
        <f t="shared" si="25"/>
        <v>47</v>
      </c>
      <c r="G438">
        <v>47</v>
      </c>
      <c r="H438" t="str">
        <f t="shared" si="26"/>
        <v>Unknown</v>
      </c>
      <c r="J438">
        <f t="shared" si="27"/>
        <v>442730</v>
      </c>
      <c r="K438">
        <v>442730</v>
      </c>
      <c r="L438">
        <f t="shared" si="28"/>
        <v>149951</v>
      </c>
      <c r="M438">
        <v>149951</v>
      </c>
      <c r="N438">
        <v>39540</v>
      </c>
      <c r="O438" t="s">
        <v>16</v>
      </c>
      <c r="P438" t="s">
        <v>24</v>
      </c>
    </row>
    <row r="439" spans="1:16" x14ac:dyDescent="0.3">
      <c r="A439" t="s">
        <v>982</v>
      </c>
      <c r="B439" t="str">
        <f>CONCATENATE(Table1[[#This Row],[First Name]]," ",Table1[[#This Row],[Last Name]])</f>
        <v>Laura Ho</v>
      </c>
      <c r="C439" t="s">
        <v>327</v>
      </c>
      <c r="D439" t="s">
        <v>983</v>
      </c>
      <c r="E439" t="s">
        <v>21</v>
      </c>
      <c r="F439">
        <f t="shared" si="25"/>
        <v>36</v>
      </c>
      <c r="G439">
        <v>36</v>
      </c>
      <c r="H439" t="str">
        <f t="shared" si="26"/>
        <v>Female</v>
      </c>
      <c r="I439" t="s">
        <v>22</v>
      </c>
      <c r="J439">
        <f t="shared" si="27"/>
        <v>5206</v>
      </c>
      <c r="K439">
        <v>5206</v>
      </c>
      <c r="L439">
        <f t="shared" si="28"/>
        <v>9335</v>
      </c>
      <c r="M439">
        <v>9335</v>
      </c>
      <c r="N439">
        <v>117748</v>
      </c>
      <c r="O439" t="s">
        <v>23</v>
      </c>
      <c r="P439" t="s">
        <v>17</v>
      </c>
    </row>
    <row r="440" spans="1:16" x14ac:dyDescent="0.3">
      <c r="A440" t="s">
        <v>984</v>
      </c>
      <c r="B440" t="str">
        <f>CONCATENATE(Table1[[#This Row],[First Name]]," ",Table1[[#This Row],[Last Name]])</f>
        <v>April Webster</v>
      </c>
      <c r="C440" t="s">
        <v>985</v>
      </c>
      <c r="D440" t="s">
        <v>986</v>
      </c>
      <c r="E440" t="s">
        <v>21</v>
      </c>
      <c r="F440">
        <f t="shared" si="25"/>
        <v>54</v>
      </c>
      <c r="G440">
        <v>54</v>
      </c>
      <c r="H440" t="str">
        <f t="shared" si="26"/>
        <v>Female</v>
      </c>
      <c r="I440" t="s">
        <v>22</v>
      </c>
      <c r="J440">
        <f t="shared" si="27"/>
        <v>467112</v>
      </c>
      <c r="K440">
        <v>467112</v>
      </c>
      <c r="L440">
        <f t="shared" si="28"/>
        <v>123600</v>
      </c>
      <c r="M440">
        <v>123600</v>
      </c>
      <c r="N440">
        <v>10020</v>
      </c>
      <c r="O440" t="s">
        <v>23</v>
      </c>
      <c r="P440" t="s">
        <v>17</v>
      </c>
    </row>
    <row r="441" spans="1:16" x14ac:dyDescent="0.3">
      <c r="A441" t="s">
        <v>987</v>
      </c>
      <c r="B441" t="str">
        <f>CONCATENATE(Table1[[#This Row],[First Name]]," ",Table1[[#This Row],[Last Name]])</f>
        <v>Victoria Austin</v>
      </c>
      <c r="C441" t="s">
        <v>796</v>
      </c>
      <c r="D441" t="s">
        <v>988</v>
      </c>
      <c r="E441" t="s">
        <v>21</v>
      </c>
      <c r="F441">
        <f t="shared" si="25"/>
        <v>31</v>
      </c>
      <c r="G441">
        <v>31</v>
      </c>
      <c r="H441" t="str">
        <f t="shared" si="26"/>
        <v>Female</v>
      </c>
      <c r="I441" t="s">
        <v>22</v>
      </c>
      <c r="J441" s="2">
        <f t="shared" si="27"/>
        <v>252076.51219512196</v>
      </c>
      <c r="L441">
        <f t="shared" si="28"/>
        <v>262289</v>
      </c>
      <c r="M441">
        <v>262289</v>
      </c>
      <c r="N441">
        <v>77480</v>
      </c>
      <c r="O441" t="s">
        <v>33</v>
      </c>
      <c r="P441" t="s">
        <v>24</v>
      </c>
    </row>
    <row r="442" spans="1:16" x14ac:dyDescent="0.3">
      <c r="A442" t="s">
        <v>989</v>
      </c>
      <c r="B442" t="str">
        <f>CONCATENATE(Table1[[#This Row],[First Name]]," ",Table1[[#This Row],[Last Name]])</f>
        <v>Rachel Hernandez</v>
      </c>
      <c r="C442" t="s">
        <v>829</v>
      </c>
      <c r="D442" t="s">
        <v>990</v>
      </c>
      <c r="E442" t="s">
        <v>14</v>
      </c>
      <c r="F442">
        <f t="shared" si="25"/>
        <v>31</v>
      </c>
      <c r="G442">
        <v>31</v>
      </c>
      <c r="H442" t="str">
        <f t="shared" si="26"/>
        <v>Male</v>
      </c>
      <c r="I442" t="s">
        <v>59</v>
      </c>
      <c r="J442">
        <f t="shared" si="27"/>
        <v>208769</v>
      </c>
      <c r="K442">
        <v>208769</v>
      </c>
      <c r="L442">
        <f t="shared" si="28"/>
        <v>219484</v>
      </c>
      <c r="M442">
        <v>219484</v>
      </c>
      <c r="N442">
        <v>19960</v>
      </c>
      <c r="O442" t="s">
        <v>33</v>
      </c>
      <c r="P442" t="s">
        <v>17</v>
      </c>
    </row>
    <row r="443" spans="1:16" x14ac:dyDescent="0.3">
      <c r="A443" t="s">
        <v>991</v>
      </c>
      <c r="B443" t="str">
        <f>CONCATENATE(Table1[[#This Row],[First Name]]," ",Table1[[#This Row],[Last Name]])</f>
        <v>Jared Newman</v>
      </c>
      <c r="C443" t="s">
        <v>992</v>
      </c>
      <c r="D443" t="s">
        <v>108</v>
      </c>
      <c r="E443" t="s">
        <v>48</v>
      </c>
      <c r="F443">
        <f t="shared" si="25"/>
        <v>42</v>
      </c>
      <c r="G443">
        <v>42</v>
      </c>
      <c r="H443" t="str">
        <f t="shared" si="26"/>
        <v>Male</v>
      </c>
      <c r="I443" t="s">
        <v>59</v>
      </c>
      <c r="J443">
        <f t="shared" si="27"/>
        <v>160398</v>
      </c>
      <c r="K443">
        <v>160398</v>
      </c>
      <c r="L443" s="2">
        <f t="shared" si="28"/>
        <v>124211.14285714286</v>
      </c>
      <c r="N443">
        <v>75311</v>
      </c>
      <c r="O443" t="s">
        <v>16</v>
      </c>
      <c r="P443" t="s">
        <v>24</v>
      </c>
    </row>
    <row r="444" spans="1:16" x14ac:dyDescent="0.3">
      <c r="A444" t="s">
        <v>993</v>
      </c>
      <c r="B444" t="str">
        <f>CONCATENATE(Table1[[#This Row],[First Name]]," ",Table1[[#This Row],[Last Name]])</f>
        <v>Brittany Harris</v>
      </c>
      <c r="C444" t="s">
        <v>53</v>
      </c>
      <c r="D444" t="s">
        <v>256</v>
      </c>
      <c r="E444" t="s">
        <v>48</v>
      </c>
      <c r="F444">
        <f t="shared" si="25"/>
        <v>54</v>
      </c>
      <c r="G444">
        <v>54</v>
      </c>
      <c r="H444" t="str">
        <f t="shared" si="26"/>
        <v>Female</v>
      </c>
      <c r="I444" t="s">
        <v>22</v>
      </c>
      <c r="J444">
        <f t="shared" si="27"/>
        <v>353967</v>
      </c>
      <c r="K444">
        <v>353967</v>
      </c>
      <c r="L444">
        <f t="shared" si="28"/>
        <v>197795</v>
      </c>
      <c r="M444">
        <v>197795</v>
      </c>
      <c r="N444">
        <v>36339</v>
      </c>
      <c r="O444" t="s">
        <v>16</v>
      </c>
      <c r="P444" t="s">
        <v>24</v>
      </c>
    </row>
    <row r="445" spans="1:16" x14ac:dyDescent="0.3">
      <c r="A445" t="s">
        <v>994</v>
      </c>
      <c r="B445" t="str">
        <f>CONCATENATE(Table1[[#This Row],[First Name]]," ",Table1[[#This Row],[Last Name]])</f>
        <v>William Long</v>
      </c>
      <c r="C445" t="s">
        <v>135</v>
      </c>
      <c r="D445" t="s">
        <v>507</v>
      </c>
      <c r="E445" t="s">
        <v>14</v>
      </c>
      <c r="F445">
        <f t="shared" si="25"/>
        <v>41</v>
      </c>
      <c r="G445">
        <v>41</v>
      </c>
      <c r="H445" t="str">
        <f t="shared" si="26"/>
        <v>Female</v>
      </c>
      <c r="I445" t="s">
        <v>22</v>
      </c>
      <c r="J445">
        <f t="shared" si="27"/>
        <v>126073</v>
      </c>
      <c r="K445">
        <v>126073</v>
      </c>
      <c r="L445">
        <f t="shared" si="28"/>
        <v>78410</v>
      </c>
      <c r="M445">
        <v>78410</v>
      </c>
      <c r="N445">
        <v>130308</v>
      </c>
      <c r="O445" t="s">
        <v>16</v>
      </c>
      <c r="P445" t="s">
        <v>24</v>
      </c>
    </row>
    <row r="446" spans="1:16" x14ac:dyDescent="0.3">
      <c r="A446" t="s">
        <v>995</v>
      </c>
      <c r="B446" t="str">
        <f>CONCATENATE(Table1[[#This Row],[First Name]]," ",Table1[[#This Row],[Last Name]])</f>
        <v>Martha Shannon</v>
      </c>
      <c r="C446" t="s">
        <v>996</v>
      </c>
      <c r="D446" t="s">
        <v>997</v>
      </c>
      <c r="E446" t="s">
        <v>44</v>
      </c>
      <c r="F446">
        <f t="shared" si="25"/>
        <v>40</v>
      </c>
      <c r="G446">
        <v>40</v>
      </c>
      <c r="H446" t="str">
        <f t="shared" si="26"/>
        <v>Female</v>
      </c>
      <c r="I446" t="s">
        <v>22</v>
      </c>
      <c r="J446">
        <f t="shared" si="27"/>
        <v>395938</v>
      </c>
      <c r="K446">
        <v>395938</v>
      </c>
      <c r="L446" s="2">
        <f t="shared" si="28"/>
        <v>153610.86666666667</v>
      </c>
      <c r="N446">
        <v>73401</v>
      </c>
      <c r="O446" t="s">
        <v>33</v>
      </c>
      <c r="P446" t="s">
        <v>24</v>
      </c>
    </row>
    <row r="447" spans="1:16" x14ac:dyDescent="0.3">
      <c r="A447" t="s">
        <v>998</v>
      </c>
      <c r="B447" t="str">
        <f>CONCATENATE(Table1[[#This Row],[First Name]]," ",Table1[[#This Row],[Last Name]])</f>
        <v>Kristopher Mays</v>
      </c>
      <c r="C447" t="s">
        <v>999</v>
      </c>
      <c r="D447" t="s">
        <v>855</v>
      </c>
      <c r="E447" t="s">
        <v>58</v>
      </c>
      <c r="F447">
        <f t="shared" si="25"/>
        <v>53</v>
      </c>
      <c r="G447">
        <v>53</v>
      </c>
      <c r="H447" t="str">
        <f t="shared" si="26"/>
        <v>Female</v>
      </c>
      <c r="I447" t="s">
        <v>22</v>
      </c>
      <c r="J447">
        <f t="shared" si="27"/>
        <v>272651</v>
      </c>
      <c r="K447">
        <v>272651</v>
      </c>
      <c r="L447">
        <f t="shared" si="28"/>
        <v>230009</v>
      </c>
      <c r="M447">
        <v>230009</v>
      </c>
      <c r="N447">
        <v>133911</v>
      </c>
      <c r="O447" t="s">
        <v>16</v>
      </c>
      <c r="P447" t="s">
        <v>17</v>
      </c>
    </row>
    <row r="448" spans="1:16" x14ac:dyDescent="0.3">
      <c r="A448" t="s">
        <v>1000</v>
      </c>
      <c r="B448" t="str">
        <f>CONCATENATE(Table1[[#This Row],[First Name]]," ",Table1[[#This Row],[Last Name]])</f>
        <v>Jillian Webb</v>
      </c>
      <c r="C448" t="s">
        <v>1001</v>
      </c>
      <c r="D448" t="s">
        <v>1002</v>
      </c>
      <c r="E448" t="s">
        <v>14</v>
      </c>
      <c r="F448">
        <f t="shared" si="25"/>
        <v>43</v>
      </c>
      <c r="G448">
        <v>43</v>
      </c>
      <c r="H448" t="str">
        <f t="shared" si="26"/>
        <v>Female</v>
      </c>
      <c r="I448" t="s">
        <v>22</v>
      </c>
      <c r="J448" s="2">
        <f t="shared" si="27"/>
        <v>252076.51219512196</v>
      </c>
      <c r="L448">
        <f t="shared" si="28"/>
        <v>129394</v>
      </c>
      <c r="M448">
        <v>129394</v>
      </c>
      <c r="N448">
        <v>85604</v>
      </c>
      <c r="O448" t="s">
        <v>33</v>
      </c>
      <c r="P448" t="s">
        <v>24</v>
      </c>
    </row>
    <row r="449" spans="1:16" x14ac:dyDescent="0.3">
      <c r="A449" t="s">
        <v>1003</v>
      </c>
      <c r="B449" t="str">
        <f>CONCATENATE(Table1[[#This Row],[First Name]]," ",Table1[[#This Row],[Last Name]])</f>
        <v>Samuel Mitchell</v>
      </c>
      <c r="C449" t="s">
        <v>610</v>
      </c>
      <c r="D449" t="s">
        <v>935</v>
      </c>
      <c r="E449" t="s">
        <v>44</v>
      </c>
      <c r="F449">
        <f t="shared" si="25"/>
        <v>56</v>
      </c>
      <c r="G449">
        <v>56</v>
      </c>
      <c r="H449" t="str">
        <f t="shared" si="26"/>
        <v>Male</v>
      </c>
      <c r="I449" t="s">
        <v>59</v>
      </c>
      <c r="J449">
        <f t="shared" si="27"/>
        <v>499118</v>
      </c>
      <c r="K449">
        <v>499118</v>
      </c>
      <c r="L449">
        <f t="shared" si="28"/>
        <v>43309</v>
      </c>
      <c r="M449">
        <v>43309</v>
      </c>
      <c r="N449">
        <v>34957</v>
      </c>
      <c r="O449" t="s">
        <v>23</v>
      </c>
      <c r="P449" t="s">
        <v>17</v>
      </c>
    </row>
    <row r="450" spans="1:16" x14ac:dyDescent="0.3">
      <c r="A450" t="s">
        <v>1004</v>
      </c>
      <c r="B450" t="str">
        <f>CONCATENATE(Table1[[#This Row],[First Name]]," ",Table1[[#This Row],[Last Name]])</f>
        <v>Elizabeth Cortez</v>
      </c>
      <c r="C450" t="s">
        <v>217</v>
      </c>
      <c r="D450" t="s">
        <v>1005</v>
      </c>
      <c r="E450" t="s">
        <v>48</v>
      </c>
      <c r="F450">
        <f t="shared" ref="F450:F501" si="29">IF(G450="", AVERAGE($G$2:$G$501),G450)</f>
        <v>41</v>
      </c>
      <c r="G450">
        <v>41</v>
      </c>
      <c r="H450" t="str">
        <f t="shared" ref="H450:H501" si="30">IF(I450="","Unknown",I450)</f>
        <v>Male</v>
      </c>
      <c r="I450" t="s">
        <v>59</v>
      </c>
      <c r="J450">
        <f t="shared" ref="J450:J501" si="31">IF(K450="",AVERAGE($K$2:$K$501),K450)</f>
        <v>200223</v>
      </c>
      <c r="K450">
        <v>200223</v>
      </c>
      <c r="L450">
        <f t="shared" ref="L450:L501" si="32">IF(M450="",AVERAGEIF($F$2:$F$501,F450,$M$2:$M$501),M450)</f>
        <v>17373</v>
      </c>
      <c r="M450">
        <v>17373</v>
      </c>
      <c r="N450">
        <v>106627</v>
      </c>
      <c r="O450" t="s">
        <v>23</v>
      </c>
      <c r="P450" t="s">
        <v>17</v>
      </c>
    </row>
    <row r="451" spans="1:16" x14ac:dyDescent="0.3">
      <c r="A451" t="s">
        <v>1006</v>
      </c>
      <c r="B451" t="str">
        <f>CONCATENATE(Table1[[#This Row],[First Name]]," ",Table1[[#This Row],[Last Name]])</f>
        <v>Thomas Tucker</v>
      </c>
      <c r="C451" t="s">
        <v>116</v>
      </c>
      <c r="D451" t="s">
        <v>1007</v>
      </c>
      <c r="E451" t="s">
        <v>44</v>
      </c>
      <c r="F451">
        <f t="shared" si="29"/>
        <v>57</v>
      </c>
      <c r="G451">
        <v>57</v>
      </c>
      <c r="H451" t="str">
        <f t="shared" si="30"/>
        <v>Unknown</v>
      </c>
      <c r="J451">
        <f t="shared" si="31"/>
        <v>106546</v>
      </c>
      <c r="K451">
        <v>106546</v>
      </c>
      <c r="L451">
        <f t="shared" si="32"/>
        <v>48386</v>
      </c>
      <c r="M451">
        <v>48386</v>
      </c>
      <c r="N451">
        <v>19370</v>
      </c>
      <c r="O451" t="s">
        <v>33</v>
      </c>
      <c r="P451" t="s">
        <v>17</v>
      </c>
    </row>
    <row r="452" spans="1:16" x14ac:dyDescent="0.3">
      <c r="A452" t="s">
        <v>1008</v>
      </c>
      <c r="B452" t="str">
        <f>CONCATENATE(Table1[[#This Row],[First Name]]," ",Table1[[#This Row],[Last Name]])</f>
        <v>Roger Holt</v>
      </c>
      <c r="C452" t="s">
        <v>186</v>
      </c>
      <c r="D452" t="s">
        <v>1009</v>
      </c>
      <c r="E452" t="s">
        <v>58</v>
      </c>
      <c r="F452">
        <f t="shared" si="29"/>
        <v>32</v>
      </c>
      <c r="G452">
        <v>32</v>
      </c>
      <c r="H452" t="str">
        <f t="shared" si="30"/>
        <v>Male</v>
      </c>
      <c r="I452" t="s">
        <v>59</v>
      </c>
      <c r="J452">
        <f t="shared" si="31"/>
        <v>454929</v>
      </c>
      <c r="K452">
        <v>454929</v>
      </c>
      <c r="L452">
        <f t="shared" si="32"/>
        <v>97274</v>
      </c>
      <c r="M452">
        <v>97274</v>
      </c>
      <c r="N452">
        <v>43181</v>
      </c>
      <c r="O452" t="s">
        <v>16</v>
      </c>
      <c r="P452" t="s">
        <v>24</v>
      </c>
    </row>
    <row r="453" spans="1:16" x14ac:dyDescent="0.3">
      <c r="A453" t="s">
        <v>1010</v>
      </c>
      <c r="B453" t="str">
        <f>CONCATENATE(Table1[[#This Row],[First Name]]," ",Table1[[#This Row],[Last Name]])</f>
        <v>Regina Wilson</v>
      </c>
      <c r="C453" t="s">
        <v>343</v>
      </c>
      <c r="D453" t="s">
        <v>335</v>
      </c>
      <c r="E453" t="s">
        <v>58</v>
      </c>
      <c r="F453">
        <f t="shared" si="29"/>
        <v>58</v>
      </c>
      <c r="G453">
        <v>58</v>
      </c>
      <c r="H453" t="str">
        <f t="shared" si="30"/>
        <v>Female</v>
      </c>
      <c r="I453" t="s">
        <v>22</v>
      </c>
      <c r="J453">
        <f t="shared" si="31"/>
        <v>395891</v>
      </c>
      <c r="K453">
        <v>395891</v>
      </c>
      <c r="L453">
        <f t="shared" si="32"/>
        <v>70291</v>
      </c>
      <c r="M453">
        <v>70291</v>
      </c>
      <c r="N453">
        <v>84711</v>
      </c>
      <c r="O453" t="s">
        <v>23</v>
      </c>
      <c r="P453" t="s">
        <v>17</v>
      </c>
    </row>
    <row r="454" spans="1:16" x14ac:dyDescent="0.3">
      <c r="A454" t="s">
        <v>1011</v>
      </c>
      <c r="B454" t="str">
        <f>CONCATENATE(Table1[[#This Row],[First Name]]," ",Table1[[#This Row],[Last Name]])</f>
        <v>Alexander Hernandez</v>
      </c>
      <c r="C454" t="s">
        <v>934</v>
      </c>
      <c r="D454" t="s">
        <v>990</v>
      </c>
      <c r="E454" t="s">
        <v>44</v>
      </c>
      <c r="F454">
        <f t="shared" si="29"/>
        <v>21</v>
      </c>
      <c r="G454">
        <v>21</v>
      </c>
      <c r="H454" t="str">
        <f t="shared" si="30"/>
        <v>Unknown</v>
      </c>
      <c r="J454" s="2">
        <f t="shared" si="31"/>
        <v>252076.51219512196</v>
      </c>
      <c r="L454">
        <f t="shared" si="32"/>
        <v>100143</v>
      </c>
      <c r="M454">
        <v>100143</v>
      </c>
      <c r="N454">
        <v>89160</v>
      </c>
      <c r="O454" t="s">
        <v>16</v>
      </c>
      <c r="P454" t="s">
        <v>24</v>
      </c>
    </row>
    <row r="455" spans="1:16" x14ac:dyDescent="0.3">
      <c r="A455" t="s">
        <v>1012</v>
      </c>
      <c r="B455" t="str">
        <f>CONCATENATE(Table1[[#This Row],[First Name]]," ",Table1[[#This Row],[Last Name]])</f>
        <v>Christopher Benjamin</v>
      </c>
      <c r="C455" t="s">
        <v>61</v>
      </c>
      <c r="D455" t="s">
        <v>67</v>
      </c>
      <c r="E455" t="s">
        <v>21</v>
      </c>
      <c r="F455">
        <f t="shared" si="29"/>
        <v>59</v>
      </c>
      <c r="G455">
        <v>59</v>
      </c>
      <c r="H455" t="str">
        <f t="shared" si="30"/>
        <v>Male</v>
      </c>
      <c r="I455" t="s">
        <v>59</v>
      </c>
      <c r="J455">
        <f t="shared" si="31"/>
        <v>338713</v>
      </c>
      <c r="K455">
        <v>338713</v>
      </c>
      <c r="L455">
        <f t="shared" si="32"/>
        <v>122238</v>
      </c>
      <c r="M455">
        <v>122238</v>
      </c>
      <c r="N455">
        <v>94579</v>
      </c>
      <c r="O455" t="s">
        <v>23</v>
      </c>
      <c r="P455" t="s">
        <v>24</v>
      </c>
    </row>
    <row r="456" spans="1:16" x14ac:dyDescent="0.3">
      <c r="A456" t="s">
        <v>1013</v>
      </c>
      <c r="B456" t="str">
        <f>CONCATENATE(Table1[[#This Row],[First Name]]," ",Table1[[#This Row],[Last Name]])</f>
        <v>Renee Meadows</v>
      </c>
      <c r="C456" t="s">
        <v>110</v>
      </c>
      <c r="D456" t="s">
        <v>119</v>
      </c>
      <c r="E456" t="s">
        <v>14</v>
      </c>
      <c r="F456">
        <f t="shared" si="29"/>
        <v>56</v>
      </c>
      <c r="G456">
        <v>56</v>
      </c>
      <c r="H456" t="str">
        <f t="shared" si="30"/>
        <v>Male</v>
      </c>
      <c r="I456" t="s">
        <v>59</v>
      </c>
      <c r="J456">
        <f t="shared" si="31"/>
        <v>345560</v>
      </c>
      <c r="K456">
        <v>345560</v>
      </c>
      <c r="L456">
        <f t="shared" si="32"/>
        <v>285503</v>
      </c>
      <c r="M456">
        <v>285503</v>
      </c>
      <c r="N456">
        <v>144456</v>
      </c>
      <c r="O456" t="s">
        <v>23</v>
      </c>
      <c r="P456" t="s">
        <v>17</v>
      </c>
    </row>
    <row r="457" spans="1:16" x14ac:dyDescent="0.3">
      <c r="A457" t="s">
        <v>1014</v>
      </c>
      <c r="B457" t="str">
        <f>CONCATENATE(Table1[[#This Row],[First Name]]," ",Table1[[#This Row],[Last Name]])</f>
        <v>Alexandria Barker</v>
      </c>
      <c r="C457" t="s">
        <v>1015</v>
      </c>
      <c r="D457" t="s">
        <v>72</v>
      </c>
      <c r="E457" t="s">
        <v>21</v>
      </c>
      <c r="F457" s="2">
        <f t="shared" si="29"/>
        <v>39.868583162217661</v>
      </c>
      <c r="H457" t="str">
        <f t="shared" si="30"/>
        <v>Male</v>
      </c>
      <c r="I457" t="s">
        <v>59</v>
      </c>
      <c r="J457">
        <f t="shared" si="31"/>
        <v>15064</v>
      </c>
      <c r="K457">
        <v>15064</v>
      </c>
      <c r="L457">
        <f t="shared" si="32"/>
        <v>158797</v>
      </c>
      <c r="M457">
        <v>158797</v>
      </c>
      <c r="N457">
        <v>136280</v>
      </c>
      <c r="O457" t="s">
        <v>16</v>
      </c>
      <c r="P457" t="s">
        <v>17</v>
      </c>
    </row>
    <row r="458" spans="1:16" x14ac:dyDescent="0.3">
      <c r="A458" t="s">
        <v>1016</v>
      </c>
      <c r="B458" t="str">
        <f>CONCATENATE(Table1[[#This Row],[First Name]]," ",Table1[[#This Row],[Last Name]])</f>
        <v>Matthew Trevino</v>
      </c>
      <c r="C458" t="s">
        <v>386</v>
      </c>
      <c r="D458" t="s">
        <v>292</v>
      </c>
      <c r="E458" t="s">
        <v>14</v>
      </c>
      <c r="F458">
        <f t="shared" si="29"/>
        <v>23</v>
      </c>
      <c r="G458">
        <v>23</v>
      </c>
      <c r="H458" t="str">
        <f t="shared" si="30"/>
        <v>Female</v>
      </c>
      <c r="I458" t="s">
        <v>22</v>
      </c>
      <c r="J458">
        <f t="shared" si="31"/>
        <v>304325</v>
      </c>
      <c r="K458">
        <v>304325</v>
      </c>
      <c r="L458">
        <f t="shared" si="32"/>
        <v>50865</v>
      </c>
      <c r="M458">
        <v>50865</v>
      </c>
      <c r="N458">
        <v>31298</v>
      </c>
      <c r="O458" t="s">
        <v>23</v>
      </c>
      <c r="P458" t="s">
        <v>24</v>
      </c>
    </row>
    <row r="459" spans="1:16" x14ac:dyDescent="0.3">
      <c r="A459" t="s">
        <v>1017</v>
      </c>
      <c r="B459" t="str">
        <f>CONCATENATE(Table1[[#This Row],[First Name]]," ",Table1[[#This Row],[Last Name]])</f>
        <v>Cameron Welch</v>
      </c>
      <c r="C459" t="s">
        <v>1018</v>
      </c>
      <c r="D459" t="s">
        <v>402</v>
      </c>
      <c r="E459" t="s">
        <v>48</v>
      </c>
      <c r="F459">
        <f t="shared" si="29"/>
        <v>31</v>
      </c>
      <c r="G459">
        <v>31</v>
      </c>
      <c r="H459" t="str">
        <f t="shared" si="30"/>
        <v>Female</v>
      </c>
      <c r="I459" t="s">
        <v>22</v>
      </c>
      <c r="J459">
        <f t="shared" si="31"/>
        <v>290901</v>
      </c>
      <c r="K459">
        <v>290901</v>
      </c>
      <c r="L459">
        <f t="shared" si="32"/>
        <v>109376</v>
      </c>
      <c r="M459">
        <v>109376</v>
      </c>
      <c r="N459">
        <v>17465</v>
      </c>
      <c r="O459" t="s">
        <v>33</v>
      </c>
      <c r="P459" t="s">
        <v>24</v>
      </c>
    </row>
    <row r="460" spans="1:16" x14ac:dyDescent="0.3">
      <c r="A460" t="s">
        <v>1019</v>
      </c>
      <c r="B460" t="str">
        <f>CONCATENATE(Table1[[#This Row],[First Name]]," ",Table1[[#This Row],[Last Name]])</f>
        <v>Timothy Alvarez</v>
      </c>
      <c r="C460" t="s">
        <v>713</v>
      </c>
      <c r="D460" t="s">
        <v>68</v>
      </c>
      <c r="E460" t="s">
        <v>14</v>
      </c>
      <c r="F460">
        <f t="shared" si="29"/>
        <v>28</v>
      </c>
      <c r="G460">
        <v>28</v>
      </c>
      <c r="H460" t="str">
        <f t="shared" si="30"/>
        <v>Male</v>
      </c>
      <c r="I460" t="s">
        <v>59</v>
      </c>
      <c r="J460">
        <f t="shared" si="31"/>
        <v>448148</v>
      </c>
      <c r="K460">
        <v>448148</v>
      </c>
      <c r="L460">
        <f t="shared" si="32"/>
        <v>129472</v>
      </c>
      <c r="M460">
        <v>129472</v>
      </c>
      <c r="N460">
        <v>71159</v>
      </c>
      <c r="O460" t="s">
        <v>23</v>
      </c>
      <c r="P460" t="s">
        <v>17</v>
      </c>
    </row>
    <row r="461" spans="1:16" x14ac:dyDescent="0.3">
      <c r="A461" t="s">
        <v>1020</v>
      </c>
      <c r="B461" t="str">
        <f>CONCATENATE(Table1[[#This Row],[First Name]]," ",Table1[[#This Row],[Last Name]])</f>
        <v>William Francis</v>
      </c>
      <c r="C461" t="s">
        <v>135</v>
      </c>
      <c r="D461" t="s">
        <v>1021</v>
      </c>
      <c r="E461" t="s">
        <v>14</v>
      </c>
      <c r="F461">
        <f t="shared" si="29"/>
        <v>43</v>
      </c>
      <c r="G461">
        <v>43</v>
      </c>
      <c r="H461" t="str">
        <f t="shared" si="30"/>
        <v>Unknown</v>
      </c>
      <c r="J461">
        <f t="shared" si="31"/>
        <v>133754</v>
      </c>
      <c r="K461">
        <v>133754</v>
      </c>
      <c r="L461">
        <f t="shared" si="32"/>
        <v>14974</v>
      </c>
      <c r="M461">
        <v>14974</v>
      </c>
      <c r="N461">
        <v>61094</v>
      </c>
      <c r="O461" t="s">
        <v>16</v>
      </c>
      <c r="P461" t="s">
        <v>17</v>
      </c>
    </row>
    <row r="462" spans="1:16" x14ac:dyDescent="0.3">
      <c r="A462" t="s">
        <v>1022</v>
      </c>
      <c r="B462" t="str">
        <f>CONCATENATE(Table1[[#This Row],[First Name]]," ",Table1[[#This Row],[Last Name]])</f>
        <v>Julie Blake</v>
      </c>
      <c r="C462" t="s">
        <v>549</v>
      </c>
      <c r="D462" t="s">
        <v>1023</v>
      </c>
      <c r="E462" t="s">
        <v>21</v>
      </c>
      <c r="F462">
        <f t="shared" si="29"/>
        <v>39</v>
      </c>
      <c r="G462">
        <v>39</v>
      </c>
      <c r="H462" t="str">
        <f t="shared" si="30"/>
        <v>Female</v>
      </c>
      <c r="I462" t="s">
        <v>22</v>
      </c>
      <c r="J462">
        <f t="shared" si="31"/>
        <v>332729</v>
      </c>
      <c r="K462">
        <v>332729</v>
      </c>
      <c r="L462">
        <f t="shared" si="32"/>
        <v>238702</v>
      </c>
      <c r="M462">
        <v>238702</v>
      </c>
      <c r="N462">
        <v>87084</v>
      </c>
      <c r="O462" t="s">
        <v>33</v>
      </c>
      <c r="P462" t="s">
        <v>24</v>
      </c>
    </row>
    <row r="463" spans="1:16" x14ac:dyDescent="0.3">
      <c r="A463" t="s">
        <v>1024</v>
      </c>
      <c r="B463" t="str">
        <f>CONCATENATE(Table1[[#This Row],[First Name]]," ",Table1[[#This Row],[Last Name]])</f>
        <v>Franklin Marsh</v>
      </c>
      <c r="C463" t="s">
        <v>1025</v>
      </c>
      <c r="D463" t="s">
        <v>1026</v>
      </c>
      <c r="E463" t="s">
        <v>21</v>
      </c>
      <c r="F463">
        <f t="shared" si="29"/>
        <v>51</v>
      </c>
      <c r="G463">
        <v>51</v>
      </c>
      <c r="H463" t="str">
        <f t="shared" si="30"/>
        <v>Male</v>
      </c>
      <c r="I463" t="s">
        <v>59</v>
      </c>
      <c r="J463">
        <f t="shared" si="31"/>
        <v>10701</v>
      </c>
      <c r="K463">
        <v>10701</v>
      </c>
      <c r="L463">
        <f t="shared" si="32"/>
        <v>112697</v>
      </c>
      <c r="M463">
        <v>112697</v>
      </c>
      <c r="N463">
        <v>50046</v>
      </c>
      <c r="O463" t="s">
        <v>23</v>
      </c>
      <c r="P463" t="s">
        <v>17</v>
      </c>
    </row>
    <row r="464" spans="1:16" x14ac:dyDescent="0.3">
      <c r="A464" t="s">
        <v>1027</v>
      </c>
      <c r="B464" t="str">
        <f>CONCATENATE(Table1[[#This Row],[First Name]]," ",Table1[[#This Row],[Last Name]])</f>
        <v>Jesus Garcia</v>
      </c>
      <c r="C464" t="s">
        <v>1028</v>
      </c>
      <c r="D464" t="s">
        <v>86</v>
      </c>
      <c r="E464" t="s">
        <v>14</v>
      </c>
      <c r="F464">
        <f t="shared" si="29"/>
        <v>33</v>
      </c>
      <c r="G464">
        <v>33</v>
      </c>
      <c r="H464" t="str">
        <f t="shared" si="30"/>
        <v>Female</v>
      </c>
      <c r="I464" t="s">
        <v>22</v>
      </c>
      <c r="J464">
        <f t="shared" si="31"/>
        <v>398841</v>
      </c>
      <c r="K464">
        <v>398841</v>
      </c>
      <c r="L464">
        <f t="shared" si="32"/>
        <v>27530</v>
      </c>
      <c r="M464">
        <v>27530</v>
      </c>
      <c r="N464">
        <v>97627</v>
      </c>
      <c r="O464" t="s">
        <v>33</v>
      </c>
      <c r="P464" t="s">
        <v>24</v>
      </c>
    </row>
    <row r="465" spans="1:16" x14ac:dyDescent="0.3">
      <c r="A465" t="s">
        <v>1029</v>
      </c>
      <c r="B465" t="str">
        <f>CONCATENATE(Table1[[#This Row],[First Name]]," ",Table1[[#This Row],[Last Name]])</f>
        <v>Alyssa Brewer</v>
      </c>
      <c r="C465" t="s">
        <v>740</v>
      </c>
      <c r="D465" t="s">
        <v>426</v>
      </c>
      <c r="E465" t="s">
        <v>48</v>
      </c>
      <c r="F465">
        <f t="shared" si="29"/>
        <v>26</v>
      </c>
      <c r="G465">
        <v>26</v>
      </c>
      <c r="H465" t="str">
        <f t="shared" si="30"/>
        <v>Male</v>
      </c>
      <c r="I465" t="s">
        <v>59</v>
      </c>
      <c r="J465">
        <f t="shared" si="31"/>
        <v>56857</v>
      </c>
      <c r="K465">
        <v>56857</v>
      </c>
      <c r="L465">
        <f t="shared" si="32"/>
        <v>210581</v>
      </c>
      <c r="M465">
        <v>210581</v>
      </c>
      <c r="N465">
        <v>105256</v>
      </c>
      <c r="O465" t="s">
        <v>16</v>
      </c>
      <c r="P465" t="s">
        <v>24</v>
      </c>
    </row>
    <row r="466" spans="1:16" x14ac:dyDescent="0.3">
      <c r="A466" t="s">
        <v>1030</v>
      </c>
      <c r="B466" t="str">
        <f>CONCATENATE(Table1[[#This Row],[First Name]]," ",Table1[[#This Row],[Last Name]])</f>
        <v>Brittany Miller</v>
      </c>
      <c r="C466" t="s">
        <v>53</v>
      </c>
      <c r="D466" t="s">
        <v>213</v>
      </c>
      <c r="E466" t="s">
        <v>14</v>
      </c>
      <c r="F466">
        <f t="shared" si="29"/>
        <v>43</v>
      </c>
      <c r="G466">
        <v>43</v>
      </c>
      <c r="H466" t="str">
        <f t="shared" si="30"/>
        <v>Female</v>
      </c>
      <c r="I466" t="s">
        <v>22</v>
      </c>
      <c r="J466">
        <f t="shared" si="31"/>
        <v>467881</v>
      </c>
      <c r="K466">
        <v>467881</v>
      </c>
      <c r="L466">
        <f t="shared" si="32"/>
        <v>267339</v>
      </c>
      <c r="M466">
        <v>267339</v>
      </c>
      <c r="N466">
        <v>147297</v>
      </c>
      <c r="O466" t="s">
        <v>33</v>
      </c>
      <c r="P466" t="s">
        <v>24</v>
      </c>
    </row>
    <row r="467" spans="1:16" x14ac:dyDescent="0.3">
      <c r="A467" t="s">
        <v>1031</v>
      </c>
      <c r="B467" t="str">
        <f>CONCATENATE(Table1[[#This Row],[First Name]]," ",Table1[[#This Row],[Last Name]])</f>
        <v>Jessica Hess</v>
      </c>
      <c r="C467" t="s">
        <v>369</v>
      </c>
      <c r="D467" t="s">
        <v>1032</v>
      </c>
      <c r="E467" t="s">
        <v>48</v>
      </c>
      <c r="F467">
        <f t="shared" si="29"/>
        <v>35</v>
      </c>
      <c r="G467">
        <v>35</v>
      </c>
      <c r="H467" t="str">
        <f t="shared" si="30"/>
        <v>Male</v>
      </c>
      <c r="I467" t="s">
        <v>59</v>
      </c>
      <c r="J467">
        <f t="shared" si="31"/>
        <v>246314</v>
      </c>
      <c r="K467">
        <v>246314</v>
      </c>
      <c r="L467">
        <f t="shared" si="32"/>
        <v>114799</v>
      </c>
      <c r="M467">
        <v>114799</v>
      </c>
      <c r="N467">
        <v>22592</v>
      </c>
      <c r="O467" t="s">
        <v>33</v>
      </c>
      <c r="P467" t="s">
        <v>17</v>
      </c>
    </row>
    <row r="468" spans="1:16" x14ac:dyDescent="0.3">
      <c r="A468" t="s">
        <v>1033</v>
      </c>
      <c r="B468" t="str">
        <f>CONCATENATE(Table1[[#This Row],[First Name]]," ",Table1[[#This Row],[Last Name]])</f>
        <v>David Cline</v>
      </c>
      <c r="C468" t="s">
        <v>113</v>
      </c>
      <c r="D468" t="s">
        <v>306</v>
      </c>
      <c r="E468" t="s">
        <v>48</v>
      </c>
      <c r="F468">
        <f t="shared" si="29"/>
        <v>56</v>
      </c>
      <c r="G468">
        <v>56</v>
      </c>
      <c r="H468" t="str">
        <f t="shared" si="30"/>
        <v>Male</v>
      </c>
      <c r="I468" t="s">
        <v>59</v>
      </c>
      <c r="J468">
        <f t="shared" si="31"/>
        <v>143643</v>
      </c>
      <c r="K468">
        <v>143643</v>
      </c>
      <c r="L468">
        <f t="shared" si="32"/>
        <v>181898</v>
      </c>
      <c r="M468">
        <v>181898</v>
      </c>
      <c r="N468">
        <v>122614</v>
      </c>
      <c r="O468" t="s">
        <v>16</v>
      </c>
      <c r="P468" t="s">
        <v>24</v>
      </c>
    </row>
    <row r="469" spans="1:16" x14ac:dyDescent="0.3">
      <c r="A469" t="s">
        <v>1034</v>
      </c>
      <c r="B469" t="str">
        <f>CONCATENATE(Table1[[#This Row],[First Name]]," ",Table1[[#This Row],[Last Name]])</f>
        <v>Mark Taylor</v>
      </c>
      <c r="C469" t="s">
        <v>19</v>
      </c>
      <c r="D469" t="s">
        <v>469</v>
      </c>
      <c r="E469" t="s">
        <v>58</v>
      </c>
      <c r="F469">
        <f t="shared" si="29"/>
        <v>33</v>
      </c>
      <c r="G469">
        <v>33</v>
      </c>
      <c r="H469" t="str">
        <f t="shared" si="30"/>
        <v>Female</v>
      </c>
      <c r="I469" t="s">
        <v>22</v>
      </c>
      <c r="J469">
        <f t="shared" si="31"/>
        <v>373048</v>
      </c>
      <c r="K469">
        <v>373048</v>
      </c>
      <c r="L469">
        <f t="shared" si="32"/>
        <v>141907</v>
      </c>
      <c r="M469">
        <v>141907</v>
      </c>
      <c r="N469">
        <v>104175</v>
      </c>
      <c r="O469" t="s">
        <v>23</v>
      </c>
      <c r="P469" t="s">
        <v>17</v>
      </c>
    </row>
    <row r="470" spans="1:16" x14ac:dyDescent="0.3">
      <c r="A470" t="s">
        <v>1035</v>
      </c>
      <c r="B470" t="str">
        <f>CONCATENATE(Table1[[#This Row],[First Name]]," ",Table1[[#This Row],[Last Name]])</f>
        <v>Erin Skinner</v>
      </c>
      <c r="C470" t="s">
        <v>618</v>
      </c>
      <c r="D470" t="s">
        <v>1036</v>
      </c>
      <c r="E470" t="s">
        <v>44</v>
      </c>
      <c r="F470">
        <f t="shared" si="29"/>
        <v>35</v>
      </c>
      <c r="G470">
        <v>35</v>
      </c>
      <c r="H470" t="str">
        <f t="shared" si="30"/>
        <v>Female</v>
      </c>
      <c r="I470" t="s">
        <v>22</v>
      </c>
      <c r="J470">
        <f t="shared" si="31"/>
        <v>445327</v>
      </c>
      <c r="K470">
        <v>445327</v>
      </c>
      <c r="L470">
        <f t="shared" si="32"/>
        <v>118601</v>
      </c>
      <c r="M470">
        <v>118601</v>
      </c>
      <c r="N470">
        <v>51461</v>
      </c>
      <c r="O470" t="s">
        <v>23</v>
      </c>
      <c r="P470" t="s">
        <v>17</v>
      </c>
    </row>
    <row r="471" spans="1:16" x14ac:dyDescent="0.3">
      <c r="A471" t="s">
        <v>1037</v>
      </c>
      <c r="B471" t="str">
        <f>CONCATENATE(Table1[[#This Row],[First Name]]," ",Table1[[#This Row],[Last Name]])</f>
        <v>Christopher Pope</v>
      </c>
      <c r="C471" t="s">
        <v>61</v>
      </c>
      <c r="D471" t="s">
        <v>1038</v>
      </c>
      <c r="E471" t="s">
        <v>44</v>
      </c>
      <c r="F471">
        <f t="shared" si="29"/>
        <v>39</v>
      </c>
      <c r="G471">
        <v>39</v>
      </c>
      <c r="H471" t="str">
        <f t="shared" si="30"/>
        <v>Male</v>
      </c>
      <c r="I471" t="s">
        <v>59</v>
      </c>
      <c r="J471">
        <f t="shared" si="31"/>
        <v>22891</v>
      </c>
      <c r="K471">
        <v>22891</v>
      </c>
      <c r="L471">
        <f t="shared" si="32"/>
        <v>189334</v>
      </c>
      <c r="M471">
        <v>189334</v>
      </c>
      <c r="N471">
        <v>67945</v>
      </c>
      <c r="O471" t="s">
        <v>16</v>
      </c>
      <c r="P471" t="s">
        <v>17</v>
      </c>
    </row>
    <row r="472" spans="1:16" x14ac:dyDescent="0.3">
      <c r="A472" t="s">
        <v>1039</v>
      </c>
      <c r="B472" t="str">
        <f>CONCATENATE(Table1[[#This Row],[First Name]]," ",Table1[[#This Row],[Last Name]])</f>
        <v>Mackenzie Davidson</v>
      </c>
      <c r="C472" t="s">
        <v>1040</v>
      </c>
      <c r="D472" t="s">
        <v>1041</v>
      </c>
      <c r="E472" t="s">
        <v>58</v>
      </c>
      <c r="F472">
        <f t="shared" si="29"/>
        <v>23</v>
      </c>
      <c r="G472">
        <v>23</v>
      </c>
      <c r="H472" t="str">
        <f t="shared" si="30"/>
        <v>Female</v>
      </c>
      <c r="I472" t="s">
        <v>22</v>
      </c>
      <c r="J472">
        <f t="shared" si="31"/>
        <v>182450</v>
      </c>
      <c r="K472">
        <v>182450</v>
      </c>
      <c r="L472">
        <f t="shared" si="32"/>
        <v>1176</v>
      </c>
      <c r="M472">
        <v>1176</v>
      </c>
      <c r="N472">
        <v>125312</v>
      </c>
      <c r="O472" t="s">
        <v>16</v>
      </c>
      <c r="P472" t="s">
        <v>24</v>
      </c>
    </row>
    <row r="473" spans="1:16" x14ac:dyDescent="0.3">
      <c r="A473" t="s">
        <v>1042</v>
      </c>
      <c r="B473" t="str">
        <f>CONCATENATE(Table1[[#This Row],[First Name]]," ",Table1[[#This Row],[Last Name]])</f>
        <v>Sandra Boyd</v>
      </c>
      <c r="C473" t="s">
        <v>141</v>
      </c>
      <c r="D473" t="s">
        <v>1043</v>
      </c>
      <c r="E473" t="s">
        <v>44</v>
      </c>
      <c r="F473">
        <f t="shared" si="29"/>
        <v>55</v>
      </c>
      <c r="G473">
        <v>55</v>
      </c>
      <c r="H473" t="str">
        <f t="shared" si="30"/>
        <v>Male</v>
      </c>
      <c r="I473" t="s">
        <v>59</v>
      </c>
      <c r="J473">
        <f t="shared" si="31"/>
        <v>481429</v>
      </c>
      <c r="K473">
        <v>481429</v>
      </c>
      <c r="L473">
        <f t="shared" si="32"/>
        <v>254158</v>
      </c>
      <c r="M473">
        <v>254158</v>
      </c>
      <c r="N473">
        <v>100605</v>
      </c>
      <c r="O473" t="s">
        <v>23</v>
      </c>
      <c r="P473" t="s">
        <v>24</v>
      </c>
    </row>
    <row r="474" spans="1:16" x14ac:dyDescent="0.3">
      <c r="A474" t="s">
        <v>1044</v>
      </c>
      <c r="B474" t="str">
        <f>CONCATENATE(Table1[[#This Row],[First Name]]," ",Table1[[#This Row],[Last Name]])</f>
        <v>Daniel Hayes</v>
      </c>
      <c r="C474" t="s">
        <v>47</v>
      </c>
      <c r="D474" t="s">
        <v>1045</v>
      </c>
      <c r="E474" t="s">
        <v>21</v>
      </c>
      <c r="F474">
        <f t="shared" si="29"/>
        <v>56</v>
      </c>
      <c r="G474">
        <v>56</v>
      </c>
      <c r="H474" t="str">
        <f t="shared" si="30"/>
        <v>Male</v>
      </c>
      <c r="I474" t="s">
        <v>59</v>
      </c>
      <c r="J474">
        <f t="shared" si="31"/>
        <v>90277</v>
      </c>
      <c r="K474">
        <v>90277</v>
      </c>
      <c r="L474">
        <f t="shared" si="32"/>
        <v>138782</v>
      </c>
      <c r="M474">
        <v>138782</v>
      </c>
      <c r="N474">
        <v>60120</v>
      </c>
      <c r="O474" t="s">
        <v>23</v>
      </c>
      <c r="P474" t="s">
        <v>17</v>
      </c>
    </row>
    <row r="475" spans="1:16" x14ac:dyDescent="0.3">
      <c r="A475" t="s">
        <v>1046</v>
      </c>
      <c r="B475" t="str">
        <f>CONCATENATE(Table1[[#This Row],[First Name]]," ",Table1[[#This Row],[Last Name]])</f>
        <v>Samuel Norris</v>
      </c>
      <c r="C475" t="s">
        <v>610</v>
      </c>
      <c r="D475" t="s">
        <v>207</v>
      </c>
      <c r="E475" t="s">
        <v>14</v>
      </c>
      <c r="F475">
        <f t="shared" si="29"/>
        <v>38</v>
      </c>
      <c r="G475">
        <v>38</v>
      </c>
      <c r="H475" t="str">
        <f t="shared" si="30"/>
        <v>Female</v>
      </c>
      <c r="I475" t="s">
        <v>22</v>
      </c>
      <c r="J475">
        <f t="shared" si="31"/>
        <v>22088</v>
      </c>
      <c r="K475">
        <v>22088</v>
      </c>
      <c r="L475">
        <f t="shared" si="32"/>
        <v>272924</v>
      </c>
      <c r="M475">
        <v>272924</v>
      </c>
      <c r="N475">
        <v>52782</v>
      </c>
      <c r="O475" t="s">
        <v>16</v>
      </c>
      <c r="P475" t="s">
        <v>24</v>
      </c>
    </row>
    <row r="476" spans="1:16" x14ac:dyDescent="0.3">
      <c r="A476" t="s">
        <v>1047</v>
      </c>
      <c r="B476" t="str">
        <f>CONCATENATE(Table1[[#This Row],[First Name]]," ",Table1[[#This Row],[Last Name]])</f>
        <v>Nicole Mccann</v>
      </c>
      <c r="C476" t="s">
        <v>219</v>
      </c>
      <c r="D476" t="s">
        <v>1048</v>
      </c>
      <c r="E476" t="s">
        <v>44</v>
      </c>
      <c r="F476">
        <f t="shared" si="29"/>
        <v>35</v>
      </c>
      <c r="G476">
        <v>35</v>
      </c>
      <c r="H476" t="str">
        <f t="shared" si="30"/>
        <v>Male</v>
      </c>
      <c r="I476" t="s">
        <v>59</v>
      </c>
      <c r="J476">
        <f t="shared" si="31"/>
        <v>352953</v>
      </c>
      <c r="K476">
        <v>352953</v>
      </c>
      <c r="L476">
        <f t="shared" si="32"/>
        <v>25026</v>
      </c>
      <c r="M476">
        <v>25026</v>
      </c>
      <c r="N476">
        <v>93067</v>
      </c>
      <c r="O476" t="s">
        <v>23</v>
      </c>
      <c r="P476" t="s">
        <v>17</v>
      </c>
    </row>
    <row r="477" spans="1:16" x14ac:dyDescent="0.3">
      <c r="A477" t="s">
        <v>1049</v>
      </c>
      <c r="B477" t="str">
        <f>CONCATENATE(Table1[[#This Row],[First Name]]," ",Table1[[#This Row],[Last Name]])</f>
        <v>Charles Roberts</v>
      </c>
      <c r="C477" t="s">
        <v>1050</v>
      </c>
      <c r="D477" t="s">
        <v>295</v>
      </c>
      <c r="E477" t="s">
        <v>58</v>
      </c>
      <c r="F477">
        <f t="shared" si="29"/>
        <v>56</v>
      </c>
      <c r="G477">
        <v>56</v>
      </c>
      <c r="H477" t="str">
        <f t="shared" si="30"/>
        <v>Female</v>
      </c>
      <c r="I477" t="s">
        <v>22</v>
      </c>
      <c r="J477">
        <f t="shared" si="31"/>
        <v>443325</v>
      </c>
      <c r="K477">
        <v>443325</v>
      </c>
      <c r="L477">
        <f t="shared" si="32"/>
        <v>25262</v>
      </c>
      <c r="M477">
        <v>25262</v>
      </c>
      <c r="N477">
        <v>125150</v>
      </c>
      <c r="O477" t="s">
        <v>23</v>
      </c>
      <c r="P477" t="s">
        <v>17</v>
      </c>
    </row>
    <row r="478" spans="1:16" x14ac:dyDescent="0.3">
      <c r="A478" t="s">
        <v>1051</v>
      </c>
      <c r="B478" t="str">
        <f>CONCATENATE(Table1[[#This Row],[First Name]]," ",Table1[[#This Row],[Last Name]])</f>
        <v>Gloria Kelley</v>
      </c>
      <c r="C478" t="s">
        <v>1052</v>
      </c>
      <c r="D478" t="s">
        <v>1053</v>
      </c>
      <c r="E478" t="s">
        <v>21</v>
      </c>
      <c r="F478">
        <f t="shared" si="29"/>
        <v>39</v>
      </c>
      <c r="G478">
        <v>39</v>
      </c>
      <c r="H478" t="str">
        <f t="shared" si="30"/>
        <v>Male</v>
      </c>
      <c r="I478" t="s">
        <v>59</v>
      </c>
      <c r="J478">
        <f t="shared" si="31"/>
        <v>77547</v>
      </c>
      <c r="K478">
        <v>77547</v>
      </c>
      <c r="L478">
        <f t="shared" si="32"/>
        <v>31211</v>
      </c>
      <c r="M478">
        <v>31211</v>
      </c>
      <c r="N478">
        <v>76434</v>
      </c>
      <c r="O478" t="s">
        <v>16</v>
      </c>
      <c r="P478" t="s">
        <v>24</v>
      </c>
    </row>
    <row r="479" spans="1:16" x14ac:dyDescent="0.3">
      <c r="A479" t="s">
        <v>1054</v>
      </c>
      <c r="B479" t="str">
        <f>CONCATENATE(Table1[[#This Row],[First Name]]," ",Table1[[#This Row],[Last Name]])</f>
        <v>Mark Cardenas</v>
      </c>
      <c r="C479" t="s">
        <v>19</v>
      </c>
      <c r="D479" t="s">
        <v>1055</v>
      </c>
      <c r="E479" t="s">
        <v>21</v>
      </c>
      <c r="F479">
        <f t="shared" si="29"/>
        <v>51</v>
      </c>
      <c r="G479">
        <v>51</v>
      </c>
      <c r="H479" t="str">
        <f t="shared" si="30"/>
        <v>Female</v>
      </c>
      <c r="I479" t="s">
        <v>22</v>
      </c>
      <c r="J479">
        <f t="shared" si="31"/>
        <v>15848</v>
      </c>
      <c r="K479">
        <v>15848</v>
      </c>
      <c r="L479">
        <f t="shared" si="32"/>
        <v>287227</v>
      </c>
      <c r="M479">
        <v>287227</v>
      </c>
      <c r="N479">
        <v>60185</v>
      </c>
      <c r="O479" t="s">
        <v>33</v>
      </c>
      <c r="P479" t="s">
        <v>17</v>
      </c>
    </row>
    <row r="480" spans="1:16" x14ac:dyDescent="0.3">
      <c r="A480" t="s">
        <v>1056</v>
      </c>
      <c r="B480" t="str">
        <f>CONCATENATE(Table1[[#This Row],[First Name]]," ",Table1[[#This Row],[Last Name]])</f>
        <v>Gregory Daniel</v>
      </c>
      <c r="C480" t="s">
        <v>1057</v>
      </c>
      <c r="D480" t="s">
        <v>47</v>
      </c>
      <c r="E480" t="s">
        <v>44</v>
      </c>
      <c r="F480">
        <f t="shared" si="29"/>
        <v>55</v>
      </c>
      <c r="G480">
        <v>55</v>
      </c>
      <c r="H480" t="str">
        <f t="shared" si="30"/>
        <v>Female</v>
      </c>
      <c r="I480" t="s">
        <v>22</v>
      </c>
      <c r="J480">
        <f t="shared" si="31"/>
        <v>348155</v>
      </c>
      <c r="K480">
        <v>348155</v>
      </c>
      <c r="L480" s="2">
        <f t="shared" si="32"/>
        <v>147091.55555555556</v>
      </c>
      <c r="N480">
        <v>131143</v>
      </c>
      <c r="O480" t="s">
        <v>16</v>
      </c>
      <c r="P480" t="s">
        <v>17</v>
      </c>
    </row>
    <row r="481" spans="1:16" x14ac:dyDescent="0.3">
      <c r="A481" t="s">
        <v>1058</v>
      </c>
      <c r="B481" t="str">
        <f>CONCATENATE(Table1[[#This Row],[First Name]]," ",Table1[[#This Row],[Last Name]])</f>
        <v>Ruth Peterson</v>
      </c>
      <c r="C481" t="s">
        <v>1059</v>
      </c>
      <c r="D481" t="s">
        <v>1060</v>
      </c>
      <c r="E481" t="s">
        <v>58</v>
      </c>
      <c r="F481">
        <f t="shared" si="29"/>
        <v>40</v>
      </c>
      <c r="G481">
        <v>40</v>
      </c>
      <c r="H481" t="str">
        <f t="shared" si="30"/>
        <v>Female</v>
      </c>
      <c r="I481" t="s">
        <v>22</v>
      </c>
      <c r="J481">
        <f t="shared" si="31"/>
        <v>175382</v>
      </c>
      <c r="K481">
        <v>175382</v>
      </c>
      <c r="L481">
        <f t="shared" si="32"/>
        <v>13905</v>
      </c>
      <c r="M481">
        <v>13905</v>
      </c>
      <c r="N481">
        <v>142445</v>
      </c>
      <c r="O481" t="s">
        <v>16</v>
      </c>
      <c r="P481" t="s">
        <v>24</v>
      </c>
    </row>
    <row r="482" spans="1:16" x14ac:dyDescent="0.3">
      <c r="A482" t="s">
        <v>1061</v>
      </c>
      <c r="B482" t="str">
        <f>CONCATENATE(Table1[[#This Row],[First Name]]," ",Table1[[#This Row],[Last Name]])</f>
        <v>Linda Carlson</v>
      </c>
      <c r="C482" t="s">
        <v>825</v>
      </c>
      <c r="D482" t="s">
        <v>1062</v>
      </c>
      <c r="E482" t="s">
        <v>21</v>
      </c>
      <c r="F482">
        <f t="shared" si="29"/>
        <v>49</v>
      </c>
      <c r="G482">
        <v>49</v>
      </c>
      <c r="H482" t="str">
        <f t="shared" si="30"/>
        <v>Female</v>
      </c>
      <c r="I482" t="s">
        <v>22</v>
      </c>
      <c r="J482">
        <f t="shared" si="31"/>
        <v>50264</v>
      </c>
      <c r="K482">
        <v>50264</v>
      </c>
      <c r="L482">
        <f t="shared" si="32"/>
        <v>205756</v>
      </c>
      <c r="M482">
        <v>205756</v>
      </c>
      <c r="N482">
        <v>13873</v>
      </c>
      <c r="O482" t="s">
        <v>33</v>
      </c>
      <c r="P482" t="s">
        <v>17</v>
      </c>
    </row>
    <row r="483" spans="1:16" x14ac:dyDescent="0.3">
      <c r="A483" t="s">
        <v>1063</v>
      </c>
      <c r="B483" t="str">
        <f>CONCATENATE(Table1[[#This Row],[First Name]]," ",Table1[[#This Row],[Last Name]])</f>
        <v>April Taylor</v>
      </c>
      <c r="C483" t="s">
        <v>985</v>
      </c>
      <c r="D483" t="s">
        <v>469</v>
      </c>
      <c r="E483" t="s">
        <v>44</v>
      </c>
      <c r="F483">
        <f t="shared" si="29"/>
        <v>37</v>
      </c>
      <c r="G483">
        <v>37</v>
      </c>
      <c r="H483" t="str">
        <f t="shared" si="30"/>
        <v>Unknown</v>
      </c>
      <c r="J483">
        <f t="shared" si="31"/>
        <v>327679</v>
      </c>
      <c r="K483">
        <v>327679</v>
      </c>
      <c r="L483">
        <f t="shared" si="32"/>
        <v>65689</v>
      </c>
      <c r="M483">
        <v>65689</v>
      </c>
      <c r="N483">
        <v>128144</v>
      </c>
      <c r="O483" t="s">
        <v>16</v>
      </c>
      <c r="P483" t="s">
        <v>24</v>
      </c>
    </row>
    <row r="484" spans="1:16" x14ac:dyDescent="0.3">
      <c r="A484" t="s">
        <v>1064</v>
      </c>
      <c r="B484" t="str">
        <f>CONCATENATE(Table1[[#This Row],[First Name]]," ",Table1[[#This Row],[Last Name]])</f>
        <v>Carolyn Fisher</v>
      </c>
      <c r="C484" t="s">
        <v>961</v>
      </c>
      <c r="D484" t="s">
        <v>225</v>
      </c>
      <c r="E484" t="s">
        <v>44</v>
      </c>
      <c r="F484">
        <f t="shared" si="29"/>
        <v>50</v>
      </c>
      <c r="G484">
        <v>50</v>
      </c>
      <c r="H484" t="str">
        <f t="shared" si="30"/>
        <v>Female</v>
      </c>
      <c r="I484" t="s">
        <v>22</v>
      </c>
      <c r="J484" s="2">
        <f t="shared" si="31"/>
        <v>252076.51219512196</v>
      </c>
      <c r="L484">
        <f t="shared" si="32"/>
        <v>215259</v>
      </c>
      <c r="M484">
        <v>215259</v>
      </c>
      <c r="N484">
        <v>138761</v>
      </c>
      <c r="O484" t="s">
        <v>23</v>
      </c>
      <c r="P484" t="s">
        <v>17</v>
      </c>
    </row>
    <row r="485" spans="1:16" x14ac:dyDescent="0.3">
      <c r="A485" t="s">
        <v>1065</v>
      </c>
      <c r="B485" t="str">
        <f>CONCATENATE(Table1[[#This Row],[First Name]]," ",Table1[[#This Row],[Last Name]])</f>
        <v>Alexandra Smith</v>
      </c>
      <c r="C485" t="s">
        <v>866</v>
      </c>
      <c r="D485" t="s">
        <v>62</v>
      </c>
      <c r="E485" t="s">
        <v>14</v>
      </c>
      <c r="F485">
        <f t="shared" si="29"/>
        <v>28</v>
      </c>
      <c r="G485">
        <v>28</v>
      </c>
      <c r="H485" t="str">
        <f t="shared" si="30"/>
        <v>Male</v>
      </c>
      <c r="I485" t="s">
        <v>59</v>
      </c>
      <c r="J485">
        <f t="shared" si="31"/>
        <v>128881</v>
      </c>
      <c r="K485">
        <v>128881</v>
      </c>
      <c r="L485">
        <f t="shared" si="32"/>
        <v>16614</v>
      </c>
      <c r="M485">
        <v>16614</v>
      </c>
      <c r="N485">
        <v>45745</v>
      </c>
      <c r="O485" t="s">
        <v>16</v>
      </c>
      <c r="P485" t="s">
        <v>24</v>
      </c>
    </row>
    <row r="486" spans="1:16" x14ac:dyDescent="0.3">
      <c r="A486" t="s">
        <v>1066</v>
      </c>
      <c r="B486" t="str">
        <f>CONCATENATE(Table1[[#This Row],[First Name]]," ",Table1[[#This Row],[Last Name]])</f>
        <v>Patricia Norris</v>
      </c>
      <c r="C486" t="s">
        <v>485</v>
      </c>
      <c r="D486" t="s">
        <v>207</v>
      </c>
      <c r="E486" t="s">
        <v>48</v>
      </c>
      <c r="F486">
        <f t="shared" si="29"/>
        <v>46</v>
      </c>
      <c r="G486">
        <v>46</v>
      </c>
      <c r="H486" t="str">
        <f t="shared" si="30"/>
        <v>Male</v>
      </c>
      <c r="I486" t="s">
        <v>59</v>
      </c>
      <c r="J486">
        <f t="shared" si="31"/>
        <v>211351</v>
      </c>
      <c r="K486">
        <v>211351</v>
      </c>
      <c r="L486">
        <f t="shared" si="32"/>
        <v>164299</v>
      </c>
      <c r="M486">
        <v>164299</v>
      </c>
      <c r="N486">
        <v>110646</v>
      </c>
      <c r="O486" t="s">
        <v>23</v>
      </c>
      <c r="P486" t="s">
        <v>17</v>
      </c>
    </row>
    <row r="487" spans="1:16" x14ac:dyDescent="0.3">
      <c r="A487" t="s">
        <v>1067</v>
      </c>
      <c r="B487" t="str">
        <f>CONCATENATE(Table1[[#This Row],[First Name]]," ",Table1[[#This Row],[Last Name]])</f>
        <v>Andrew Williams</v>
      </c>
      <c r="C487" t="s">
        <v>188</v>
      </c>
      <c r="D487" t="s">
        <v>751</v>
      </c>
      <c r="E487" t="s">
        <v>44</v>
      </c>
      <c r="F487">
        <f t="shared" si="29"/>
        <v>45</v>
      </c>
      <c r="G487">
        <v>45</v>
      </c>
      <c r="H487" t="str">
        <f t="shared" si="30"/>
        <v>Male</v>
      </c>
      <c r="I487" t="s">
        <v>59</v>
      </c>
      <c r="J487">
        <f t="shared" si="31"/>
        <v>16072</v>
      </c>
      <c r="K487">
        <v>16072</v>
      </c>
      <c r="L487">
        <f t="shared" si="32"/>
        <v>143767</v>
      </c>
      <c r="M487">
        <v>143767</v>
      </c>
      <c r="N487">
        <v>50473</v>
      </c>
      <c r="O487" t="s">
        <v>23</v>
      </c>
      <c r="P487" t="s">
        <v>24</v>
      </c>
    </row>
    <row r="488" spans="1:16" x14ac:dyDescent="0.3">
      <c r="A488" t="s">
        <v>1068</v>
      </c>
      <c r="B488" t="str">
        <f>CONCATENATE(Table1[[#This Row],[First Name]]," ",Table1[[#This Row],[Last Name]])</f>
        <v>Joshua Hall</v>
      </c>
      <c r="C488" t="s">
        <v>284</v>
      </c>
      <c r="D488" t="s">
        <v>1069</v>
      </c>
      <c r="E488" t="s">
        <v>44</v>
      </c>
      <c r="F488">
        <f t="shared" si="29"/>
        <v>55</v>
      </c>
      <c r="G488">
        <v>55</v>
      </c>
      <c r="H488" t="str">
        <f t="shared" si="30"/>
        <v>Female</v>
      </c>
      <c r="I488" t="s">
        <v>22</v>
      </c>
      <c r="J488" s="2">
        <f t="shared" si="31"/>
        <v>252076.51219512196</v>
      </c>
      <c r="L488">
        <f t="shared" si="32"/>
        <v>254674</v>
      </c>
      <c r="M488">
        <v>254674</v>
      </c>
      <c r="N488">
        <v>122760</v>
      </c>
      <c r="O488" t="s">
        <v>16</v>
      </c>
      <c r="P488" t="s">
        <v>17</v>
      </c>
    </row>
    <row r="489" spans="1:16" x14ac:dyDescent="0.3">
      <c r="A489" t="s">
        <v>1070</v>
      </c>
      <c r="B489" t="str">
        <f>CONCATENATE(Table1[[#This Row],[First Name]]," ",Table1[[#This Row],[Last Name]])</f>
        <v>Matthew Young</v>
      </c>
      <c r="C489" t="s">
        <v>386</v>
      </c>
      <c r="D489" t="s">
        <v>13</v>
      </c>
      <c r="E489" t="s">
        <v>44</v>
      </c>
      <c r="F489">
        <f t="shared" si="29"/>
        <v>23</v>
      </c>
      <c r="G489">
        <v>23</v>
      </c>
      <c r="H489" t="str">
        <f t="shared" si="30"/>
        <v>Male</v>
      </c>
      <c r="I489" t="s">
        <v>59</v>
      </c>
      <c r="J489">
        <f t="shared" si="31"/>
        <v>40577</v>
      </c>
      <c r="K489">
        <v>40577</v>
      </c>
      <c r="L489">
        <f t="shared" si="32"/>
        <v>132237</v>
      </c>
      <c r="M489">
        <v>132237</v>
      </c>
      <c r="N489">
        <v>106196</v>
      </c>
      <c r="O489" t="s">
        <v>33</v>
      </c>
      <c r="P489" t="s">
        <v>24</v>
      </c>
    </row>
    <row r="490" spans="1:16" x14ac:dyDescent="0.3">
      <c r="A490" t="s">
        <v>1071</v>
      </c>
      <c r="B490" t="str">
        <f>CONCATENATE(Table1[[#This Row],[First Name]]," ",Table1[[#This Row],[Last Name]])</f>
        <v>Jason Lewis</v>
      </c>
      <c r="C490" t="s">
        <v>124</v>
      </c>
      <c r="D490" t="s">
        <v>309</v>
      </c>
      <c r="E490" t="s">
        <v>44</v>
      </c>
      <c r="F490">
        <f t="shared" si="29"/>
        <v>30</v>
      </c>
      <c r="G490">
        <v>30</v>
      </c>
      <c r="H490" t="str">
        <f t="shared" si="30"/>
        <v>Female</v>
      </c>
      <c r="I490" t="s">
        <v>22</v>
      </c>
      <c r="J490">
        <f t="shared" si="31"/>
        <v>9829</v>
      </c>
      <c r="K490">
        <v>9829</v>
      </c>
      <c r="L490">
        <f t="shared" si="32"/>
        <v>230757</v>
      </c>
      <c r="M490">
        <v>230757</v>
      </c>
      <c r="N490">
        <v>50052</v>
      </c>
      <c r="O490" t="s">
        <v>16</v>
      </c>
      <c r="P490" t="s">
        <v>24</v>
      </c>
    </row>
    <row r="491" spans="1:16" x14ac:dyDescent="0.3">
      <c r="A491" t="s">
        <v>1072</v>
      </c>
      <c r="B491" t="str">
        <f>CONCATENATE(Table1[[#This Row],[First Name]]," ",Table1[[#This Row],[Last Name]])</f>
        <v>Richard Johnson</v>
      </c>
      <c r="C491" t="s">
        <v>126</v>
      </c>
      <c r="D491" t="s">
        <v>174</v>
      </c>
      <c r="E491" t="s">
        <v>14</v>
      </c>
      <c r="F491">
        <f t="shared" si="29"/>
        <v>24</v>
      </c>
      <c r="G491">
        <v>24</v>
      </c>
      <c r="H491" t="str">
        <f t="shared" si="30"/>
        <v>Unknown</v>
      </c>
      <c r="J491">
        <f t="shared" si="31"/>
        <v>162800</v>
      </c>
      <c r="K491">
        <v>162800</v>
      </c>
      <c r="L491">
        <f t="shared" si="32"/>
        <v>272010</v>
      </c>
      <c r="M491">
        <v>272010</v>
      </c>
      <c r="N491">
        <v>110585</v>
      </c>
      <c r="O491" t="s">
        <v>16</v>
      </c>
      <c r="P491" t="s">
        <v>24</v>
      </c>
    </row>
    <row r="492" spans="1:16" x14ac:dyDescent="0.3">
      <c r="A492" t="s">
        <v>1073</v>
      </c>
      <c r="B492" t="str">
        <f>CONCATENATE(Table1[[#This Row],[First Name]]," ",Table1[[#This Row],[Last Name]])</f>
        <v>Tracy Davis</v>
      </c>
      <c r="C492" t="s">
        <v>724</v>
      </c>
      <c r="D492" t="s">
        <v>585</v>
      </c>
      <c r="E492" t="s">
        <v>44</v>
      </c>
      <c r="F492">
        <f t="shared" si="29"/>
        <v>24</v>
      </c>
      <c r="G492">
        <v>24</v>
      </c>
      <c r="H492" t="str">
        <f t="shared" si="30"/>
        <v>Male</v>
      </c>
      <c r="I492" t="s">
        <v>59</v>
      </c>
      <c r="J492">
        <f t="shared" si="31"/>
        <v>313926</v>
      </c>
      <c r="K492">
        <v>313926</v>
      </c>
      <c r="L492">
        <f t="shared" si="32"/>
        <v>166897</v>
      </c>
      <c r="M492">
        <v>166897</v>
      </c>
      <c r="N492">
        <v>41928</v>
      </c>
      <c r="O492" t="s">
        <v>33</v>
      </c>
      <c r="P492" t="s">
        <v>17</v>
      </c>
    </row>
    <row r="493" spans="1:16" x14ac:dyDescent="0.3">
      <c r="A493" t="s">
        <v>1074</v>
      </c>
      <c r="B493" t="str">
        <f>CONCATENATE(Table1[[#This Row],[First Name]]," ",Table1[[#This Row],[Last Name]])</f>
        <v>Alexis Duncan</v>
      </c>
      <c r="C493" t="s">
        <v>39</v>
      </c>
      <c r="D493" t="s">
        <v>545</v>
      </c>
      <c r="E493" t="s">
        <v>58</v>
      </c>
      <c r="F493">
        <f t="shared" si="29"/>
        <v>42</v>
      </c>
      <c r="G493">
        <v>42</v>
      </c>
      <c r="H493" t="str">
        <f t="shared" si="30"/>
        <v>Female</v>
      </c>
      <c r="I493" t="s">
        <v>22</v>
      </c>
      <c r="J493" s="2">
        <f t="shared" si="31"/>
        <v>252076.51219512196</v>
      </c>
      <c r="L493">
        <f t="shared" si="32"/>
        <v>277765</v>
      </c>
      <c r="M493">
        <v>277765</v>
      </c>
      <c r="N493">
        <v>84094</v>
      </c>
      <c r="O493" t="s">
        <v>16</v>
      </c>
      <c r="P493" t="s">
        <v>24</v>
      </c>
    </row>
    <row r="494" spans="1:16" x14ac:dyDescent="0.3">
      <c r="A494" t="s">
        <v>1075</v>
      </c>
      <c r="B494" t="str">
        <f>CONCATENATE(Table1[[#This Row],[First Name]]," ",Table1[[#This Row],[Last Name]])</f>
        <v>Zachary Ferguson</v>
      </c>
      <c r="C494" t="s">
        <v>821</v>
      </c>
      <c r="D494" t="s">
        <v>1076</v>
      </c>
      <c r="E494" t="s">
        <v>14</v>
      </c>
      <c r="F494">
        <f t="shared" si="29"/>
        <v>57</v>
      </c>
      <c r="G494">
        <v>57</v>
      </c>
      <c r="H494" t="str">
        <f t="shared" si="30"/>
        <v>Unknown</v>
      </c>
      <c r="J494">
        <f t="shared" si="31"/>
        <v>294041</v>
      </c>
      <c r="K494">
        <v>294041</v>
      </c>
      <c r="L494">
        <f t="shared" si="32"/>
        <v>43402</v>
      </c>
      <c r="M494">
        <v>43402</v>
      </c>
      <c r="N494">
        <v>83863</v>
      </c>
      <c r="O494" t="s">
        <v>23</v>
      </c>
      <c r="P494" t="s">
        <v>17</v>
      </c>
    </row>
    <row r="495" spans="1:16" x14ac:dyDescent="0.3">
      <c r="A495" t="s">
        <v>1077</v>
      </c>
      <c r="B495" t="str">
        <f>CONCATENATE(Table1[[#This Row],[First Name]]," ",Table1[[#This Row],[Last Name]])</f>
        <v>Daniel Walker</v>
      </c>
      <c r="C495" t="s">
        <v>47</v>
      </c>
      <c r="D495" t="s">
        <v>758</v>
      </c>
      <c r="E495" t="s">
        <v>44</v>
      </c>
      <c r="F495" s="2">
        <f t="shared" si="29"/>
        <v>39.868583162217661</v>
      </c>
      <c r="H495" t="str">
        <f t="shared" si="30"/>
        <v>Male</v>
      </c>
      <c r="I495" t="s">
        <v>59</v>
      </c>
      <c r="J495">
        <f t="shared" si="31"/>
        <v>221227</v>
      </c>
      <c r="K495">
        <v>221227</v>
      </c>
      <c r="L495">
        <f t="shared" si="32"/>
        <v>247153</v>
      </c>
      <c r="M495">
        <v>247153</v>
      </c>
      <c r="N495">
        <v>25622</v>
      </c>
      <c r="O495" t="s">
        <v>16</v>
      </c>
      <c r="P495" t="s">
        <v>17</v>
      </c>
    </row>
    <row r="496" spans="1:16" x14ac:dyDescent="0.3">
      <c r="A496" t="s">
        <v>1078</v>
      </c>
      <c r="B496" t="str">
        <f>CONCATENATE(Table1[[#This Row],[First Name]]," ",Table1[[#This Row],[Last Name]])</f>
        <v>Nathan White</v>
      </c>
      <c r="C496" t="s">
        <v>74</v>
      </c>
      <c r="D496" t="s">
        <v>93</v>
      </c>
      <c r="E496" t="s">
        <v>14</v>
      </c>
      <c r="F496">
        <f t="shared" si="29"/>
        <v>52</v>
      </c>
      <c r="G496">
        <v>52</v>
      </c>
      <c r="H496" t="str">
        <f t="shared" si="30"/>
        <v>Female</v>
      </c>
      <c r="I496" t="s">
        <v>22</v>
      </c>
      <c r="J496">
        <f t="shared" si="31"/>
        <v>424158</v>
      </c>
      <c r="K496">
        <v>424158</v>
      </c>
      <c r="L496">
        <f t="shared" si="32"/>
        <v>98478</v>
      </c>
      <c r="M496">
        <v>98478</v>
      </c>
      <c r="N496">
        <v>43844</v>
      </c>
      <c r="O496" t="s">
        <v>33</v>
      </c>
      <c r="P496" t="s">
        <v>17</v>
      </c>
    </row>
    <row r="497" spans="1:16" x14ac:dyDescent="0.3">
      <c r="A497" t="s">
        <v>1079</v>
      </c>
      <c r="B497" t="str">
        <f>CONCATENATE(Table1[[#This Row],[First Name]]," ",Table1[[#This Row],[Last Name]])</f>
        <v>Brenda Simmons</v>
      </c>
      <c r="C497" t="s">
        <v>1080</v>
      </c>
      <c r="D497" t="s">
        <v>1081</v>
      </c>
      <c r="E497" t="s">
        <v>21</v>
      </c>
      <c r="F497">
        <f t="shared" si="29"/>
        <v>40</v>
      </c>
      <c r="G497">
        <v>40</v>
      </c>
      <c r="H497" t="str">
        <f t="shared" si="30"/>
        <v>Female</v>
      </c>
      <c r="I497" t="s">
        <v>22</v>
      </c>
      <c r="J497">
        <f t="shared" si="31"/>
        <v>298743</v>
      </c>
      <c r="K497">
        <v>298743</v>
      </c>
      <c r="L497">
        <f t="shared" si="32"/>
        <v>223734</v>
      </c>
      <c r="M497">
        <v>223734</v>
      </c>
      <c r="N497">
        <v>61461</v>
      </c>
      <c r="O497" t="s">
        <v>33</v>
      </c>
      <c r="P497" t="s">
        <v>17</v>
      </c>
    </row>
    <row r="498" spans="1:16" x14ac:dyDescent="0.3">
      <c r="A498" t="s">
        <v>1082</v>
      </c>
      <c r="B498" t="str">
        <f>CONCATENATE(Table1[[#This Row],[First Name]]," ",Table1[[#This Row],[Last Name]])</f>
        <v>Matthew Roberts</v>
      </c>
      <c r="C498" t="s">
        <v>386</v>
      </c>
      <c r="D498" t="s">
        <v>295</v>
      </c>
      <c r="E498" t="s">
        <v>48</v>
      </c>
      <c r="F498">
        <f t="shared" si="29"/>
        <v>50</v>
      </c>
      <c r="G498">
        <v>50</v>
      </c>
      <c r="H498" t="str">
        <f t="shared" si="30"/>
        <v>Male</v>
      </c>
      <c r="I498" t="s">
        <v>59</v>
      </c>
      <c r="J498">
        <f t="shared" si="31"/>
        <v>296051</v>
      </c>
      <c r="K498">
        <v>296051</v>
      </c>
      <c r="L498">
        <f t="shared" si="32"/>
        <v>10317</v>
      </c>
      <c r="M498">
        <v>10317</v>
      </c>
      <c r="N498">
        <v>147644</v>
      </c>
      <c r="O498" t="s">
        <v>23</v>
      </c>
      <c r="P498" t="s">
        <v>17</v>
      </c>
    </row>
    <row r="499" spans="1:16" x14ac:dyDescent="0.3">
      <c r="A499" t="s">
        <v>1083</v>
      </c>
      <c r="B499" t="str">
        <f>CONCATENATE(Table1[[#This Row],[First Name]]," ",Table1[[#This Row],[Last Name]])</f>
        <v>Hannah Hernandez</v>
      </c>
      <c r="C499" t="s">
        <v>1084</v>
      </c>
      <c r="D499" t="s">
        <v>990</v>
      </c>
      <c r="E499" t="s">
        <v>21</v>
      </c>
      <c r="F499">
        <f t="shared" si="29"/>
        <v>41</v>
      </c>
      <c r="G499">
        <v>41</v>
      </c>
      <c r="H499" t="str">
        <f t="shared" si="30"/>
        <v>Female</v>
      </c>
      <c r="I499" t="s">
        <v>22</v>
      </c>
      <c r="J499">
        <f t="shared" si="31"/>
        <v>489565</v>
      </c>
      <c r="K499">
        <v>489565</v>
      </c>
      <c r="L499">
        <f t="shared" si="32"/>
        <v>234375</v>
      </c>
      <c r="M499">
        <v>234375</v>
      </c>
      <c r="N499">
        <v>119060</v>
      </c>
      <c r="O499" t="s">
        <v>33</v>
      </c>
      <c r="P499" t="s">
        <v>24</v>
      </c>
    </row>
    <row r="500" spans="1:16" x14ac:dyDescent="0.3">
      <c r="A500" t="s">
        <v>1085</v>
      </c>
      <c r="B500" t="str">
        <f>CONCATENATE(Table1[[#This Row],[First Name]]," ",Table1[[#This Row],[Last Name]])</f>
        <v>Brian Little</v>
      </c>
      <c r="C500" t="s">
        <v>669</v>
      </c>
      <c r="D500" t="s">
        <v>1086</v>
      </c>
      <c r="E500" t="s">
        <v>14</v>
      </c>
      <c r="F500">
        <f t="shared" si="29"/>
        <v>21</v>
      </c>
      <c r="G500">
        <v>21</v>
      </c>
      <c r="H500" t="str">
        <f t="shared" si="30"/>
        <v>Male</v>
      </c>
      <c r="I500" t="s">
        <v>59</v>
      </c>
      <c r="J500">
        <f t="shared" si="31"/>
        <v>76979</v>
      </c>
      <c r="K500">
        <v>76979</v>
      </c>
      <c r="L500">
        <f t="shared" si="32"/>
        <v>9941</v>
      </c>
      <c r="M500">
        <v>9941</v>
      </c>
      <c r="N500">
        <v>110198</v>
      </c>
      <c r="O500" t="s">
        <v>33</v>
      </c>
      <c r="P500" t="s">
        <v>17</v>
      </c>
    </row>
    <row r="501" spans="1:16" x14ac:dyDescent="0.3">
      <c r="A501" t="s">
        <v>1087</v>
      </c>
      <c r="B501" t="str">
        <f>CONCATENATE(Table1[[#This Row],[First Name]]," ",Table1[[#This Row],[Last Name]])</f>
        <v>Eric Rhodes</v>
      </c>
      <c r="C501" t="s">
        <v>1088</v>
      </c>
      <c r="D501" t="s">
        <v>1089</v>
      </c>
      <c r="E501" t="s">
        <v>48</v>
      </c>
      <c r="F501" s="2">
        <f t="shared" si="29"/>
        <v>39.868583162217661</v>
      </c>
      <c r="H501" t="str">
        <f t="shared" si="30"/>
        <v>Female</v>
      </c>
      <c r="I501" t="s">
        <v>22</v>
      </c>
      <c r="J501">
        <f t="shared" si="31"/>
        <v>158248</v>
      </c>
      <c r="K501">
        <v>158248</v>
      </c>
      <c r="L501">
        <f t="shared" si="32"/>
        <v>128450</v>
      </c>
      <c r="M501">
        <v>128450</v>
      </c>
      <c r="N501">
        <v>131864</v>
      </c>
      <c r="O501" t="s">
        <v>23</v>
      </c>
      <c r="P501" t="s">
        <v>24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807E-6962-4358-82BC-F356673E36BB}">
  <dimension ref="A1:J501"/>
  <sheetViews>
    <sheetView workbookViewId="0">
      <selection activeCell="B15" sqref="A1:J501"/>
    </sheetView>
  </sheetViews>
  <sheetFormatPr defaultRowHeight="14.4" x14ac:dyDescent="0.3"/>
  <cols>
    <col min="1" max="1" width="16.33203125" bestFit="1" customWidth="1"/>
    <col min="2" max="2" width="18.6640625" bestFit="1" customWidth="1"/>
    <col min="3" max="3" width="10.6640625" bestFit="1" customWidth="1"/>
    <col min="4" max="4" width="12" bestFit="1" customWidth="1"/>
    <col min="5" max="5" width="11.5546875" bestFit="1" customWidth="1"/>
    <col min="6" max="6" width="19.5546875" style="5" bestFit="1" customWidth="1"/>
    <col min="7" max="7" width="16.88671875" style="5" bestFit="1" customWidth="1"/>
    <col min="8" max="8" width="19.5546875" style="5" bestFit="1" customWidth="1"/>
    <col min="9" max="9" width="14.44140625" customWidth="1"/>
    <col min="10" max="10" width="10.6640625" bestFit="1" customWidth="1"/>
  </cols>
  <sheetData>
    <row r="1" spans="1:10" x14ac:dyDescent="0.3">
      <c r="A1" s="9" t="s">
        <v>0</v>
      </c>
      <c r="B1" s="9" t="s">
        <v>1092</v>
      </c>
      <c r="C1" s="9" t="s">
        <v>3</v>
      </c>
      <c r="D1" s="9" t="s">
        <v>4</v>
      </c>
      <c r="E1" s="9" t="s">
        <v>5</v>
      </c>
      <c r="F1" s="10" t="s">
        <v>6</v>
      </c>
      <c r="G1" s="10" t="s">
        <v>7</v>
      </c>
      <c r="H1" s="10" t="s">
        <v>8</v>
      </c>
      <c r="I1" s="9" t="s">
        <v>9</v>
      </c>
      <c r="J1" s="9" t="s">
        <v>10</v>
      </c>
    </row>
    <row r="2" spans="1:10" x14ac:dyDescent="0.3">
      <c r="A2" s="3" t="s">
        <v>11</v>
      </c>
      <c r="B2" s="3" t="s">
        <v>1094</v>
      </c>
      <c r="C2" s="3" t="s">
        <v>14</v>
      </c>
      <c r="D2" s="3">
        <v>27</v>
      </c>
      <c r="E2" s="3" t="s">
        <v>22</v>
      </c>
      <c r="F2" s="4">
        <v>173251</v>
      </c>
      <c r="G2" s="4">
        <v>201954</v>
      </c>
      <c r="H2" s="4">
        <v>60097</v>
      </c>
      <c r="I2" s="3" t="s">
        <v>16</v>
      </c>
      <c r="J2" s="3" t="s">
        <v>17</v>
      </c>
    </row>
    <row r="3" spans="1:10" x14ac:dyDescent="0.3">
      <c r="A3" s="3" t="s">
        <v>18</v>
      </c>
      <c r="B3" s="3" t="s">
        <v>1095</v>
      </c>
      <c r="C3" s="3" t="s">
        <v>21</v>
      </c>
      <c r="D3" s="3">
        <v>22</v>
      </c>
      <c r="E3" s="3" t="s">
        <v>22</v>
      </c>
      <c r="F3" s="4">
        <v>290970</v>
      </c>
      <c r="G3" s="4">
        <v>230892</v>
      </c>
      <c r="H3" s="4">
        <v>84539</v>
      </c>
      <c r="I3" s="3" t="s">
        <v>23</v>
      </c>
      <c r="J3" s="3" t="s">
        <v>24</v>
      </c>
    </row>
    <row r="4" spans="1:10" x14ac:dyDescent="0.3">
      <c r="A4" s="3" t="s">
        <v>25</v>
      </c>
      <c r="B4" s="3" t="s">
        <v>1096</v>
      </c>
      <c r="C4" s="3" t="s">
        <v>21</v>
      </c>
      <c r="D4" s="3">
        <v>59</v>
      </c>
      <c r="E4" s="3" t="s">
        <v>59</v>
      </c>
      <c r="F4" s="4">
        <v>154393</v>
      </c>
      <c r="G4" s="4">
        <v>46687</v>
      </c>
      <c r="H4" s="4">
        <v>129825</v>
      </c>
      <c r="I4" s="3" t="s">
        <v>23</v>
      </c>
      <c r="J4" s="3" t="s">
        <v>17</v>
      </c>
    </row>
    <row r="5" spans="1:10" x14ac:dyDescent="0.3">
      <c r="A5" s="3" t="s">
        <v>29</v>
      </c>
      <c r="B5" s="3" t="s">
        <v>1097</v>
      </c>
      <c r="C5" s="3" t="s">
        <v>21</v>
      </c>
      <c r="D5" s="3">
        <v>53</v>
      </c>
      <c r="E5" s="3" t="s">
        <v>59</v>
      </c>
      <c r="F5" s="4">
        <v>407998</v>
      </c>
      <c r="G5" s="4">
        <v>229123</v>
      </c>
      <c r="H5" s="4">
        <v>33489</v>
      </c>
      <c r="I5" s="3" t="s">
        <v>33</v>
      </c>
      <c r="J5" s="3" t="s">
        <v>24</v>
      </c>
    </row>
    <row r="6" spans="1:10" x14ac:dyDescent="0.3">
      <c r="A6" s="3" t="s">
        <v>34</v>
      </c>
      <c r="B6" s="3" t="s">
        <v>1098</v>
      </c>
      <c r="C6" s="3" t="s">
        <v>14</v>
      </c>
      <c r="D6" s="3">
        <v>48</v>
      </c>
      <c r="E6" s="3" t="s">
        <v>22</v>
      </c>
      <c r="F6" s="4">
        <v>252076.51219512196</v>
      </c>
      <c r="G6" s="4">
        <v>82629</v>
      </c>
      <c r="H6" s="4">
        <v>36790</v>
      </c>
      <c r="I6" s="3" t="s">
        <v>33</v>
      </c>
      <c r="J6" s="3" t="s">
        <v>17</v>
      </c>
    </row>
    <row r="7" spans="1:10" x14ac:dyDescent="0.3">
      <c r="A7" s="3" t="s">
        <v>38</v>
      </c>
      <c r="B7" s="3" t="s">
        <v>1099</v>
      </c>
      <c r="C7" s="3" t="s">
        <v>14</v>
      </c>
      <c r="D7" s="3">
        <v>39</v>
      </c>
      <c r="E7" s="3" t="s">
        <v>59</v>
      </c>
      <c r="F7" s="4">
        <v>393546</v>
      </c>
      <c r="G7" s="4">
        <v>282820</v>
      </c>
      <c r="H7" s="4">
        <v>60204</v>
      </c>
      <c r="I7" s="3" t="s">
        <v>33</v>
      </c>
      <c r="J7" s="3" t="s">
        <v>17</v>
      </c>
    </row>
    <row r="8" spans="1:10" x14ac:dyDescent="0.3">
      <c r="A8" s="3" t="s">
        <v>41</v>
      </c>
      <c r="B8" s="3" t="s">
        <v>1100</v>
      </c>
      <c r="C8" s="3" t="s">
        <v>44</v>
      </c>
      <c r="D8" s="3">
        <v>40</v>
      </c>
      <c r="E8" s="3" t="s">
        <v>59</v>
      </c>
      <c r="F8" s="4">
        <v>277326</v>
      </c>
      <c r="G8" s="4">
        <v>202534</v>
      </c>
      <c r="H8" s="4">
        <v>63511</v>
      </c>
      <c r="I8" s="3" t="s">
        <v>33</v>
      </c>
      <c r="J8" s="3" t="s">
        <v>24</v>
      </c>
    </row>
    <row r="9" spans="1:10" x14ac:dyDescent="0.3">
      <c r="A9" s="3" t="s">
        <v>45</v>
      </c>
      <c r="B9" s="3" t="s">
        <v>1101</v>
      </c>
      <c r="C9" s="3" t="s">
        <v>48</v>
      </c>
      <c r="D9" s="3">
        <v>31</v>
      </c>
      <c r="E9" s="3" t="s">
        <v>22</v>
      </c>
      <c r="F9" s="4">
        <v>409932</v>
      </c>
      <c r="G9" s="4">
        <v>209949</v>
      </c>
      <c r="H9" s="4">
        <v>17760</v>
      </c>
      <c r="I9" s="3" t="s">
        <v>23</v>
      </c>
      <c r="J9" s="3" t="s">
        <v>17</v>
      </c>
    </row>
    <row r="10" spans="1:10" x14ac:dyDescent="0.3">
      <c r="A10" s="3" t="s">
        <v>49</v>
      </c>
      <c r="B10" s="3" t="s">
        <v>1102</v>
      </c>
      <c r="C10" s="3" t="s">
        <v>14</v>
      </c>
      <c r="D10" s="3">
        <v>47</v>
      </c>
      <c r="E10" s="3" t="s">
        <v>59</v>
      </c>
      <c r="F10" s="4">
        <v>468043</v>
      </c>
      <c r="G10" s="4">
        <v>123836</v>
      </c>
      <c r="H10" s="4">
        <v>101261</v>
      </c>
      <c r="I10" s="3" t="s">
        <v>16</v>
      </c>
      <c r="J10" s="3" t="s">
        <v>17</v>
      </c>
    </row>
    <row r="11" spans="1:10" x14ac:dyDescent="0.3">
      <c r="A11" s="3" t="s">
        <v>52</v>
      </c>
      <c r="B11" s="3" t="s">
        <v>1103</v>
      </c>
      <c r="C11" s="3" t="s">
        <v>44</v>
      </c>
      <c r="D11" s="3">
        <v>45</v>
      </c>
      <c r="E11" s="3" t="s">
        <v>59</v>
      </c>
      <c r="F11" s="4">
        <v>328320</v>
      </c>
      <c r="G11" s="4">
        <v>171683</v>
      </c>
      <c r="H11" s="4">
        <v>115464</v>
      </c>
      <c r="I11" s="3" t="s">
        <v>16</v>
      </c>
      <c r="J11" s="3" t="s">
        <v>24</v>
      </c>
    </row>
    <row r="12" spans="1:10" x14ac:dyDescent="0.3">
      <c r="A12" s="3" t="s">
        <v>55</v>
      </c>
      <c r="B12" s="3" t="s">
        <v>1104</v>
      </c>
      <c r="C12" s="3" t="s">
        <v>58</v>
      </c>
      <c r="D12" s="3">
        <v>57</v>
      </c>
      <c r="E12" s="3" t="s">
        <v>59</v>
      </c>
      <c r="F12" s="4">
        <v>311372</v>
      </c>
      <c r="G12" s="4">
        <v>251677</v>
      </c>
      <c r="H12" s="4">
        <v>47473</v>
      </c>
      <c r="I12" s="3" t="s">
        <v>16</v>
      </c>
      <c r="J12" s="3" t="s">
        <v>17</v>
      </c>
    </row>
    <row r="13" spans="1:10" x14ac:dyDescent="0.3">
      <c r="A13" s="3" t="s">
        <v>60</v>
      </c>
      <c r="B13" s="3" t="s">
        <v>1105</v>
      </c>
      <c r="C13" s="3" t="s">
        <v>44</v>
      </c>
      <c r="D13" s="3">
        <v>38</v>
      </c>
      <c r="E13" s="3" t="s">
        <v>59</v>
      </c>
      <c r="F13" s="4">
        <v>37657</v>
      </c>
      <c r="G13" s="4">
        <v>146719</v>
      </c>
      <c r="H13" s="4">
        <v>147344</v>
      </c>
      <c r="I13" s="3" t="s">
        <v>23</v>
      </c>
      <c r="J13" s="3" t="s">
        <v>24</v>
      </c>
    </row>
    <row r="14" spans="1:10" x14ac:dyDescent="0.3">
      <c r="A14" s="3" t="s">
        <v>63</v>
      </c>
      <c r="B14" s="3" t="s">
        <v>1106</v>
      </c>
      <c r="C14" s="3" t="s">
        <v>44</v>
      </c>
      <c r="D14" s="3">
        <v>57</v>
      </c>
      <c r="E14" s="3" t="s">
        <v>22</v>
      </c>
      <c r="F14" s="4">
        <v>252076.51219512196</v>
      </c>
      <c r="G14" s="4">
        <v>97461</v>
      </c>
      <c r="H14" s="4">
        <v>80848</v>
      </c>
      <c r="I14" s="3" t="s">
        <v>23</v>
      </c>
      <c r="J14" s="3" t="s">
        <v>17</v>
      </c>
    </row>
    <row r="15" spans="1:10" x14ac:dyDescent="0.3">
      <c r="A15" s="3" t="s">
        <v>66</v>
      </c>
      <c r="B15" s="3" t="s">
        <v>1107</v>
      </c>
      <c r="C15" s="3" t="s">
        <v>21</v>
      </c>
      <c r="D15" s="3">
        <v>34</v>
      </c>
      <c r="E15" s="3" t="s">
        <v>22</v>
      </c>
      <c r="F15" s="4">
        <v>235791</v>
      </c>
      <c r="G15" s="4">
        <v>49290</v>
      </c>
      <c r="H15" s="4">
        <v>24861</v>
      </c>
      <c r="I15" s="3" t="s">
        <v>23</v>
      </c>
      <c r="J15" s="3" t="s">
        <v>24</v>
      </c>
    </row>
    <row r="16" spans="1:10" x14ac:dyDescent="0.3">
      <c r="A16" s="3" t="s">
        <v>70</v>
      </c>
      <c r="B16" s="3" t="s">
        <v>1108</v>
      </c>
      <c r="C16" s="3" t="s">
        <v>44</v>
      </c>
      <c r="D16" s="3">
        <v>34</v>
      </c>
      <c r="E16" s="3" t="s">
        <v>59</v>
      </c>
      <c r="F16" s="4">
        <v>142325</v>
      </c>
      <c r="G16" s="4">
        <v>119346</v>
      </c>
      <c r="H16" s="4">
        <v>63943</v>
      </c>
      <c r="I16" s="3" t="s">
        <v>16</v>
      </c>
      <c r="J16" s="3" t="s">
        <v>17</v>
      </c>
    </row>
    <row r="17" spans="1:10" x14ac:dyDescent="0.3">
      <c r="A17" s="3" t="s">
        <v>73</v>
      </c>
      <c r="B17" s="3" t="s">
        <v>1109</v>
      </c>
      <c r="C17" s="3" t="s">
        <v>44</v>
      </c>
      <c r="D17" s="3">
        <v>25</v>
      </c>
      <c r="E17" s="3" t="s">
        <v>22</v>
      </c>
      <c r="F17" s="4">
        <v>183534</v>
      </c>
      <c r="G17" s="4">
        <v>37832</v>
      </c>
      <c r="H17" s="4">
        <v>82064</v>
      </c>
      <c r="I17" s="3" t="s">
        <v>33</v>
      </c>
      <c r="J17" s="3" t="s">
        <v>24</v>
      </c>
    </row>
    <row r="18" spans="1:10" x14ac:dyDescent="0.3">
      <c r="A18" s="3" t="s">
        <v>76</v>
      </c>
      <c r="B18" s="3" t="s">
        <v>1110</v>
      </c>
      <c r="C18" s="3" t="s">
        <v>21</v>
      </c>
      <c r="D18" s="3">
        <v>39</v>
      </c>
      <c r="E18" s="3" t="s">
        <v>1590</v>
      </c>
      <c r="F18" s="4">
        <v>378588</v>
      </c>
      <c r="G18" s="4">
        <v>4870</v>
      </c>
      <c r="H18" s="4">
        <v>147525</v>
      </c>
      <c r="I18" s="3" t="s">
        <v>16</v>
      </c>
      <c r="J18" s="3" t="s">
        <v>17</v>
      </c>
    </row>
    <row r="19" spans="1:10" x14ac:dyDescent="0.3">
      <c r="A19" s="3" t="s">
        <v>79</v>
      </c>
      <c r="B19" s="3" t="s">
        <v>1111</v>
      </c>
      <c r="C19" s="3" t="s">
        <v>48</v>
      </c>
      <c r="D19" s="3">
        <v>32</v>
      </c>
      <c r="E19" s="3" t="s">
        <v>22</v>
      </c>
      <c r="F19" s="4">
        <v>109396</v>
      </c>
      <c r="G19" s="4">
        <v>24146</v>
      </c>
      <c r="H19" s="4">
        <v>84605</v>
      </c>
      <c r="I19" s="3" t="s">
        <v>16</v>
      </c>
      <c r="J19" s="3" t="s">
        <v>24</v>
      </c>
    </row>
    <row r="20" spans="1:10" x14ac:dyDescent="0.3">
      <c r="A20" s="3" t="s">
        <v>82</v>
      </c>
      <c r="B20" s="3" t="s">
        <v>1112</v>
      </c>
      <c r="C20" s="3" t="s">
        <v>58</v>
      </c>
      <c r="D20" s="3">
        <v>58</v>
      </c>
      <c r="E20" s="3" t="s">
        <v>22</v>
      </c>
      <c r="F20" s="4">
        <v>366989</v>
      </c>
      <c r="G20" s="4">
        <v>66345</v>
      </c>
      <c r="H20" s="4">
        <v>93738</v>
      </c>
      <c r="I20" s="3" t="s">
        <v>16</v>
      </c>
      <c r="J20" s="3" t="s">
        <v>24</v>
      </c>
    </row>
    <row r="21" spans="1:10" x14ac:dyDescent="0.3">
      <c r="A21" s="3" t="s">
        <v>84</v>
      </c>
      <c r="B21" s="3" t="s">
        <v>1113</v>
      </c>
      <c r="C21" s="3" t="s">
        <v>48</v>
      </c>
      <c r="D21" s="3">
        <v>29</v>
      </c>
      <c r="E21" s="3" t="s">
        <v>22</v>
      </c>
      <c r="F21" s="4">
        <v>28089</v>
      </c>
      <c r="G21" s="4">
        <v>105962</v>
      </c>
      <c r="H21" s="4">
        <v>89657</v>
      </c>
      <c r="I21" s="3" t="s">
        <v>16</v>
      </c>
      <c r="J21" s="3" t="s">
        <v>24</v>
      </c>
    </row>
    <row r="22" spans="1:10" x14ac:dyDescent="0.3">
      <c r="A22" s="3" t="s">
        <v>87</v>
      </c>
      <c r="B22" s="3" t="s">
        <v>1114</v>
      </c>
      <c r="C22" s="3" t="s">
        <v>14</v>
      </c>
      <c r="D22" s="3">
        <v>24</v>
      </c>
      <c r="E22" s="3" t="s">
        <v>59</v>
      </c>
      <c r="F22" s="4">
        <v>464120</v>
      </c>
      <c r="G22" s="4">
        <v>255109</v>
      </c>
      <c r="H22" s="4">
        <v>49534</v>
      </c>
      <c r="I22" s="3" t="s">
        <v>23</v>
      </c>
      <c r="J22" s="3" t="s">
        <v>24</v>
      </c>
    </row>
    <row r="23" spans="1:10" x14ac:dyDescent="0.3">
      <c r="A23" s="3" t="s">
        <v>91</v>
      </c>
      <c r="B23" s="3" t="s">
        <v>1115</v>
      </c>
      <c r="C23" s="3" t="s">
        <v>21</v>
      </c>
      <c r="D23" s="3">
        <v>52</v>
      </c>
      <c r="E23" s="3" t="s">
        <v>22</v>
      </c>
      <c r="F23" s="4">
        <v>242645</v>
      </c>
      <c r="G23" s="4">
        <v>215764</v>
      </c>
      <c r="H23" s="4">
        <v>119723</v>
      </c>
      <c r="I23" s="3" t="s">
        <v>33</v>
      </c>
      <c r="J23" s="3" t="s">
        <v>17</v>
      </c>
    </row>
    <row r="24" spans="1:10" x14ac:dyDescent="0.3">
      <c r="A24" s="3" t="s">
        <v>94</v>
      </c>
      <c r="B24" s="3" t="s">
        <v>1116</v>
      </c>
      <c r="C24" s="3" t="s">
        <v>21</v>
      </c>
      <c r="D24" s="3">
        <v>27</v>
      </c>
      <c r="E24" s="3" t="s">
        <v>22</v>
      </c>
      <c r="F24" s="4">
        <v>96931</v>
      </c>
      <c r="G24" s="4">
        <v>212684</v>
      </c>
      <c r="H24" s="4">
        <v>72262</v>
      </c>
      <c r="I24" s="3" t="s">
        <v>33</v>
      </c>
      <c r="J24" s="3" t="s">
        <v>17</v>
      </c>
    </row>
    <row r="25" spans="1:10" x14ac:dyDescent="0.3">
      <c r="A25" s="3" t="s">
        <v>97</v>
      </c>
      <c r="B25" s="3" t="s">
        <v>1117</v>
      </c>
      <c r="C25" s="3" t="s">
        <v>14</v>
      </c>
      <c r="D25" s="3">
        <v>31</v>
      </c>
      <c r="E25" s="3" t="s">
        <v>22</v>
      </c>
      <c r="F25" s="4">
        <v>252076.51219512196</v>
      </c>
      <c r="G25" s="4">
        <v>22589</v>
      </c>
      <c r="H25" s="4">
        <v>96065</v>
      </c>
      <c r="I25" s="3" t="s">
        <v>33</v>
      </c>
      <c r="J25" s="3" t="s">
        <v>24</v>
      </c>
    </row>
    <row r="26" spans="1:10" x14ac:dyDescent="0.3">
      <c r="A26" s="3" t="s">
        <v>100</v>
      </c>
      <c r="B26" s="3" t="s">
        <v>1118</v>
      </c>
      <c r="C26" s="3" t="s">
        <v>58</v>
      </c>
      <c r="D26" s="3">
        <v>40</v>
      </c>
      <c r="E26" s="3" t="s">
        <v>22</v>
      </c>
      <c r="F26" s="4">
        <v>376023</v>
      </c>
      <c r="G26" s="4">
        <v>125661</v>
      </c>
      <c r="H26" s="4">
        <v>17897</v>
      </c>
      <c r="I26" s="3" t="s">
        <v>16</v>
      </c>
      <c r="J26" s="3" t="s">
        <v>17</v>
      </c>
    </row>
    <row r="27" spans="1:10" x14ac:dyDescent="0.3">
      <c r="A27" s="3" t="s">
        <v>103</v>
      </c>
      <c r="B27" s="3" t="s">
        <v>1119</v>
      </c>
      <c r="C27" s="3" t="s">
        <v>48</v>
      </c>
      <c r="D27" s="3">
        <v>37</v>
      </c>
      <c r="E27" s="3" t="s">
        <v>22</v>
      </c>
      <c r="F27" s="4">
        <v>240960</v>
      </c>
      <c r="G27" s="4">
        <v>87899</v>
      </c>
      <c r="H27" s="4">
        <v>73114</v>
      </c>
      <c r="I27" s="3" t="s">
        <v>33</v>
      </c>
      <c r="J27" s="3" t="s">
        <v>24</v>
      </c>
    </row>
    <row r="28" spans="1:10" x14ac:dyDescent="0.3">
      <c r="A28" s="3" t="s">
        <v>106</v>
      </c>
      <c r="B28" s="3" t="s">
        <v>1120</v>
      </c>
      <c r="C28" s="3" t="s">
        <v>14</v>
      </c>
      <c r="D28" s="3">
        <v>32</v>
      </c>
      <c r="E28" s="3" t="s">
        <v>22</v>
      </c>
      <c r="F28" s="4">
        <v>370808</v>
      </c>
      <c r="G28" s="4">
        <v>214420</v>
      </c>
      <c r="H28" s="4">
        <v>97047</v>
      </c>
      <c r="I28" s="3" t="s">
        <v>16</v>
      </c>
      <c r="J28" s="3" t="s">
        <v>24</v>
      </c>
    </row>
    <row r="29" spans="1:10" x14ac:dyDescent="0.3">
      <c r="A29" s="3" t="s">
        <v>109</v>
      </c>
      <c r="B29" s="3" t="s">
        <v>1121</v>
      </c>
      <c r="C29" s="3" t="s">
        <v>14</v>
      </c>
      <c r="D29" s="3">
        <v>38</v>
      </c>
      <c r="E29" s="3" t="s">
        <v>22</v>
      </c>
      <c r="F29" s="4">
        <v>288932</v>
      </c>
      <c r="G29" s="4">
        <v>169820</v>
      </c>
      <c r="H29" s="4">
        <v>104449</v>
      </c>
      <c r="I29" s="3" t="s">
        <v>23</v>
      </c>
      <c r="J29" s="3" t="s">
        <v>24</v>
      </c>
    </row>
    <row r="30" spans="1:10" x14ac:dyDescent="0.3">
      <c r="A30" s="3" t="s">
        <v>112</v>
      </c>
      <c r="B30" s="3" t="s">
        <v>1122</v>
      </c>
      <c r="C30" s="3" t="s">
        <v>44</v>
      </c>
      <c r="D30" s="3">
        <v>27</v>
      </c>
      <c r="E30" s="3" t="s">
        <v>22</v>
      </c>
      <c r="F30" s="4">
        <v>229111</v>
      </c>
      <c r="G30" s="4">
        <v>162228</v>
      </c>
      <c r="H30" s="4">
        <v>46648</v>
      </c>
      <c r="I30" s="3" t="s">
        <v>33</v>
      </c>
      <c r="J30" s="3" t="s">
        <v>24</v>
      </c>
    </row>
    <row r="31" spans="1:10" x14ac:dyDescent="0.3">
      <c r="A31" s="3" t="s">
        <v>115</v>
      </c>
      <c r="B31" s="3" t="s">
        <v>1123</v>
      </c>
      <c r="C31" s="3" t="s">
        <v>58</v>
      </c>
      <c r="D31" s="3">
        <v>22</v>
      </c>
      <c r="E31" s="3" t="s">
        <v>22</v>
      </c>
      <c r="F31" s="4">
        <v>327115</v>
      </c>
      <c r="G31" s="4">
        <v>105929</v>
      </c>
      <c r="H31" s="4">
        <v>117263</v>
      </c>
      <c r="I31" s="3" t="s">
        <v>33</v>
      </c>
      <c r="J31" s="3" t="s">
        <v>17</v>
      </c>
    </row>
    <row r="32" spans="1:10" x14ac:dyDescent="0.3">
      <c r="A32" s="3" t="s">
        <v>118</v>
      </c>
      <c r="B32" s="3" t="s">
        <v>1124</v>
      </c>
      <c r="C32" s="3" t="s">
        <v>21</v>
      </c>
      <c r="D32" s="3">
        <v>45</v>
      </c>
      <c r="E32" s="3" t="s">
        <v>22</v>
      </c>
      <c r="F32" s="4">
        <v>369852</v>
      </c>
      <c r="G32" s="4">
        <v>147676.125</v>
      </c>
      <c r="H32" s="4">
        <v>63444</v>
      </c>
      <c r="I32" s="3" t="s">
        <v>23</v>
      </c>
      <c r="J32" s="3" t="s">
        <v>17</v>
      </c>
    </row>
    <row r="33" spans="1:10" x14ac:dyDescent="0.3">
      <c r="A33" s="3" t="s">
        <v>120</v>
      </c>
      <c r="B33" s="3" t="s">
        <v>1125</v>
      </c>
      <c r="C33" s="3" t="s">
        <v>44</v>
      </c>
      <c r="D33" s="3">
        <v>28</v>
      </c>
      <c r="E33" s="3" t="s">
        <v>22</v>
      </c>
      <c r="F33" s="4">
        <v>31862</v>
      </c>
      <c r="G33" s="4">
        <v>264712</v>
      </c>
      <c r="H33" s="4">
        <v>89071</v>
      </c>
      <c r="I33" s="3" t="s">
        <v>23</v>
      </c>
      <c r="J33" s="3" t="s">
        <v>17</v>
      </c>
    </row>
    <row r="34" spans="1:10" x14ac:dyDescent="0.3">
      <c r="A34" s="3" t="s">
        <v>123</v>
      </c>
      <c r="B34" s="3" t="s">
        <v>1126</v>
      </c>
      <c r="C34" s="3" t="s">
        <v>14</v>
      </c>
      <c r="D34" s="3">
        <v>59</v>
      </c>
      <c r="E34" s="3" t="s">
        <v>22</v>
      </c>
      <c r="F34" s="4">
        <v>157366</v>
      </c>
      <c r="G34" s="4">
        <v>279801</v>
      </c>
      <c r="H34" s="4">
        <v>53889</v>
      </c>
      <c r="I34" s="3" t="s">
        <v>23</v>
      </c>
      <c r="J34" s="3" t="s">
        <v>24</v>
      </c>
    </row>
    <row r="35" spans="1:10" x14ac:dyDescent="0.3">
      <c r="A35" s="3" t="s">
        <v>125</v>
      </c>
      <c r="B35" s="3" t="s">
        <v>1127</v>
      </c>
      <c r="C35" s="3" t="s">
        <v>48</v>
      </c>
      <c r="D35" s="3">
        <v>52</v>
      </c>
      <c r="E35" s="3" t="s">
        <v>22</v>
      </c>
      <c r="F35" s="4">
        <v>46103</v>
      </c>
      <c r="G35" s="4">
        <v>253552</v>
      </c>
      <c r="H35" s="4">
        <v>137136</v>
      </c>
      <c r="I35" s="3" t="s">
        <v>23</v>
      </c>
      <c r="J35" s="3" t="s">
        <v>24</v>
      </c>
    </row>
    <row r="36" spans="1:10" x14ac:dyDescent="0.3">
      <c r="A36" s="3" t="s">
        <v>128</v>
      </c>
      <c r="B36" s="3" t="s">
        <v>1128</v>
      </c>
      <c r="C36" s="3" t="s">
        <v>14</v>
      </c>
      <c r="D36" s="3">
        <v>37</v>
      </c>
      <c r="E36" s="3" t="s">
        <v>59</v>
      </c>
      <c r="F36" s="4">
        <v>252076.51219512196</v>
      </c>
      <c r="G36" s="4">
        <v>279530</v>
      </c>
      <c r="H36" s="4">
        <v>49401</v>
      </c>
      <c r="I36" s="3" t="s">
        <v>33</v>
      </c>
      <c r="J36" s="3" t="s">
        <v>17</v>
      </c>
    </row>
    <row r="37" spans="1:10" x14ac:dyDescent="0.3">
      <c r="A37" s="3" t="s">
        <v>131</v>
      </c>
      <c r="B37" s="3" t="s">
        <v>1129</v>
      </c>
      <c r="C37" s="3" t="s">
        <v>48</v>
      </c>
      <c r="D37" s="3">
        <v>46</v>
      </c>
      <c r="E37" s="3" t="s">
        <v>59</v>
      </c>
      <c r="F37" s="4">
        <v>257101</v>
      </c>
      <c r="G37" s="4">
        <v>4975</v>
      </c>
      <c r="H37" s="4">
        <v>124975</v>
      </c>
      <c r="I37" s="3" t="s">
        <v>23</v>
      </c>
      <c r="J37" s="3" t="s">
        <v>17</v>
      </c>
    </row>
    <row r="38" spans="1:10" x14ac:dyDescent="0.3">
      <c r="A38" s="3" t="s">
        <v>134</v>
      </c>
      <c r="B38" s="3" t="s">
        <v>1130</v>
      </c>
      <c r="C38" s="3" t="s">
        <v>21</v>
      </c>
      <c r="D38" s="3">
        <v>51</v>
      </c>
      <c r="E38" s="3" t="s">
        <v>59</v>
      </c>
      <c r="F38" s="4">
        <v>436328</v>
      </c>
      <c r="G38" s="4">
        <v>268431</v>
      </c>
      <c r="H38" s="4">
        <v>20107</v>
      </c>
      <c r="I38" s="3" t="s">
        <v>23</v>
      </c>
      <c r="J38" s="3" t="s">
        <v>24</v>
      </c>
    </row>
    <row r="39" spans="1:10" x14ac:dyDescent="0.3">
      <c r="A39" s="3" t="s">
        <v>137</v>
      </c>
      <c r="B39" s="3" t="s">
        <v>1131</v>
      </c>
      <c r="C39" s="3" t="s">
        <v>58</v>
      </c>
      <c r="D39" s="3">
        <v>43</v>
      </c>
      <c r="E39" s="3" t="s">
        <v>59</v>
      </c>
      <c r="F39" s="4">
        <v>299153</v>
      </c>
      <c r="G39" s="4">
        <v>217265</v>
      </c>
      <c r="H39" s="4">
        <v>25816</v>
      </c>
      <c r="I39" s="3" t="s">
        <v>33</v>
      </c>
      <c r="J39" s="3" t="s">
        <v>17</v>
      </c>
    </row>
    <row r="40" spans="1:10" x14ac:dyDescent="0.3">
      <c r="A40" s="3" t="s">
        <v>140</v>
      </c>
      <c r="B40" s="3" t="s">
        <v>1132</v>
      </c>
      <c r="C40" s="3" t="s">
        <v>48</v>
      </c>
      <c r="D40" s="3">
        <v>39.868583162217661</v>
      </c>
      <c r="E40" s="3" t="s">
        <v>59</v>
      </c>
      <c r="F40" s="4">
        <v>88858</v>
      </c>
      <c r="G40" s="4">
        <v>176385</v>
      </c>
      <c r="H40" s="4">
        <v>96405</v>
      </c>
      <c r="I40" s="3" t="s">
        <v>16</v>
      </c>
      <c r="J40" s="3" t="s">
        <v>17</v>
      </c>
    </row>
    <row r="41" spans="1:10" x14ac:dyDescent="0.3">
      <c r="A41" s="3" t="s">
        <v>143</v>
      </c>
      <c r="B41" s="3" t="s">
        <v>1133</v>
      </c>
      <c r="C41" s="3" t="s">
        <v>48</v>
      </c>
      <c r="D41" s="3">
        <v>29</v>
      </c>
      <c r="E41" s="3" t="s">
        <v>22</v>
      </c>
      <c r="F41" s="4">
        <v>232818</v>
      </c>
      <c r="G41" s="4">
        <v>277062</v>
      </c>
      <c r="H41" s="4">
        <v>27152</v>
      </c>
      <c r="I41" s="3" t="s">
        <v>23</v>
      </c>
      <c r="J41" s="3" t="s">
        <v>24</v>
      </c>
    </row>
    <row r="42" spans="1:10" x14ac:dyDescent="0.3">
      <c r="A42" s="3" t="s">
        <v>146</v>
      </c>
      <c r="B42" s="3" t="s">
        <v>1134</v>
      </c>
      <c r="C42" s="3" t="s">
        <v>21</v>
      </c>
      <c r="D42" s="3">
        <v>21</v>
      </c>
      <c r="E42" s="3" t="s">
        <v>1590</v>
      </c>
      <c r="F42" s="4">
        <v>252076.51219512196</v>
      </c>
      <c r="G42" s="4">
        <v>118185</v>
      </c>
      <c r="H42" s="4">
        <v>28996</v>
      </c>
      <c r="I42" s="3" t="s">
        <v>33</v>
      </c>
      <c r="J42" s="3" t="s">
        <v>24</v>
      </c>
    </row>
    <row r="43" spans="1:10" x14ac:dyDescent="0.3">
      <c r="A43" s="3" t="s">
        <v>149</v>
      </c>
      <c r="B43" s="3" t="s">
        <v>1135</v>
      </c>
      <c r="C43" s="3" t="s">
        <v>21</v>
      </c>
      <c r="D43" s="3">
        <v>53</v>
      </c>
      <c r="E43" s="3" t="s">
        <v>22</v>
      </c>
      <c r="F43" s="4">
        <v>81993</v>
      </c>
      <c r="G43" s="4">
        <v>280761</v>
      </c>
      <c r="H43" s="4">
        <v>48115</v>
      </c>
      <c r="I43" s="3" t="s">
        <v>16</v>
      </c>
      <c r="J43" s="3" t="s">
        <v>24</v>
      </c>
    </row>
    <row r="44" spans="1:10" x14ac:dyDescent="0.3">
      <c r="A44" s="3" t="s">
        <v>152</v>
      </c>
      <c r="B44" s="3" t="s">
        <v>1136</v>
      </c>
      <c r="C44" s="3" t="s">
        <v>44</v>
      </c>
      <c r="D44" s="3">
        <v>33</v>
      </c>
      <c r="E44" s="3" t="s">
        <v>1590</v>
      </c>
      <c r="F44" s="4">
        <v>52480</v>
      </c>
      <c r="G44" s="4">
        <v>239014</v>
      </c>
      <c r="H44" s="4">
        <v>16422</v>
      </c>
      <c r="I44" s="3" t="s">
        <v>23</v>
      </c>
      <c r="J44" s="3" t="s">
        <v>24</v>
      </c>
    </row>
    <row r="45" spans="1:10" x14ac:dyDescent="0.3">
      <c r="A45" s="3" t="s">
        <v>155</v>
      </c>
      <c r="B45" s="3" t="s">
        <v>1137</v>
      </c>
      <c r="C45" s="3" t="s">
        <v>14</v>
      </c>
      <c r="D45" s="3">
        <v>22</v>
      </c>
      <c r="E45" s="3" t="s">
        <v>59</v>
      </c>
      <c r="F45" s="4">
        <v>23528</v>
      </c>
      <c r="G45" s="4">
        <v>7049</v>
      </c>
      <c r="H45" s="4">
        <v>145390</v>
      </c>
      <c r="I45" s="3" t="s">
        <v>16</v>
      </c>
      <c r="J45" s="3" t="s">
        <v>17</v>
      </c>
    </row>
    <row r="46" spans="1:10" x14ac:dyDescent="0.3">
      <c r="A46" s="3" t="s">
        <v>158</v>
      </c>
      <c r="B46" s="3" t="s">
        <v>1138</v>
      </c>
      <c r="C46" s="3" t="s">
        <v>21</v>
      </c>
      <c r="D46" s="3">
        <v>37</v>
      </c>
      <c r="E46" s="3" t="s">
        <v>59</v>
      </c>
      <c r="F46" s="4">
        <v>26321</v>
      </c>
      <c r="G46" s="4">
        <v>243195</v>
      </c>
      <c r="H46" s="4">
        <v>40977</v>
      </c>
      <c r="I46" s="3" t="s">
        <v>16</v>
      </c>
      <c r="J46" s="3" t="s">
        <v>17</v>
      </c>
    </row>
    <row r="47" spans="1:10" x14ac:dyDescent="0.3">
      <c r="A47" s="3" t="s">
        <v>161</v>
      </c>
      <c r="B47" s="3" t="s">
        <v>1139</v>
      </c>
      <c r="C47" s="3" t="s">
        <v>44</v>
      </c>
      <c r="D47" s="3">
        <v>49</v>
      </c>
      <c r="E47" s="3" t="s">
        <v>59</v>
      </c>
      <c r="F47" s="4">
        <v>429931</v>
      </c>
      <c r="G47" s="4">
        <v>140398.72727272726</v>
      </c>
      <c r="H47" s="4">
        <v>52216</v>
      </c>
      <c r="I47" s="3" t="s">
        <v>16</v>
      </c>
      <c r="J47" s="3" t="s">
        <v>17</v>
      </c>
    </row>
    <row r="48" spans="1:10" x14ac:dyDescent="0.3">
      <c r="A48" s="3" t="s">
        <v>163</v>
      </c>
      <c r="B48" s="3" t="s">
        <v>1140</v>
      </c>
      <c r="C48" s="3" t="s">
        <v>44</v>
      </c>
      <c r="D48" s="3">
        <v>26</v>
      </c>
      <c r="E48" s="3" t="s">
        <v>1590</v>
      </c>
      <c r="F48" s="4">
        <v>392441</v>
      </c>
      <c r="G48" s="4">
        <v>74216</v>
      </c>
      <c r="H48" s="4">
        <v>118625</v>
      </c>
      <c r="I48" s="3" t="s">
        <v>33</v>
      </c>
      <c r="J48" s="3" t="s">
        <v>24</v>
      </c>
    </row>
    <row r="49" spans="1:10" x14ac:dyDescent="0.3">
      <c r="A49" s="3" t="s">
        <v>166</v>
      </c>
      <c r="B49" s="3" t="s">
        <v>1141</v>
      </c>
      <c r="C49" s="3" t="s">
        <v>14</v>
      </c>
      <c r="D49" s="3">
        <v>39</v>
      </c>
      <c r="E49" s="3" t="s">
        <v>22</v>
      </c>
      <c r="F49" s="4">
        <v>58551</v>
      </c>
      <c r="G49" s="4">
        <v>277650</v>
      </c>
      <c r="H49" s="4">
        <v>136448</v>
      </c>
      <c r="I49" s="3" t="s">
        <v>16</v>
      </c>
      <c r="J49" s="3" t="s">
        <v>17</v>
      </c>
    </row>
    <row r="50" spans="1:10" x14ac:dyDescent="0.3">
      <c r="A50" s="3" t="s">
        <v>169</v>
      </c>
      <c r="B50" s="3" t="s">
        <v>1142</v>
      </c>
      <c r="C50" s="3" t="s">
        <v>58</v>
      </c>
      <c r="D50" s="3">
        <v>48</v>
      </c>
      <c r="E50" s="3" t="s">
        <v>59</v>
      </c>
      <c r="F50" s="4">
        <v>364338</v>
      </c>
      <c r="G50" s="4">
        <v>91054</v>
      </c>
      <c r="H50" s="4">
        <v>103727</v>
      </c>
      <c r="I50" s="3" t="s">
        <v>23</v>
      </c>
      <c r="J50" s="3" t="s">
        <v>17</v>
      </c>
    </row>
    <row r="51" spans="1:10" x14ac:dyDescent="0.3">
      <c r="A51" s="3" t="s">
        <v>172</v>
      </c>
      <c r="B51" s="3" t="s">
        <v>1143</v>
      </c>
      <c r="C51" s="3" t="s">
        <v>14</v>
      </c>
      <c r="D51" s="3">
        <v>42</v>
      </c>
      <c r="E51" s="3" t="s">
        <v>59</v>
      </c>
      <c r="F51" s="4">
        <v>252076.51219512196</v>
      </c>
      <c r="G51" s="4">
        <v>136937</v>
      </c>
      <c r="H51" s="4">
        <v>132762</v>
      </c>
      <c r="I51" s="3" t="s">
        <v>16</v>
      </c>
      <c r="J51" s="3" t="s">
        <v>17</v>
      </c>
    </row>
    <row r="52" spans="1:10" x14ac:dyDescent="0.3">
      <c r="A52" s="3" t="s">
        <v>175</v>
      </c>
      <c r="B52" s="3" t="s">
        <v>1144</v>
      </c>
      <c r="C52" s="3" t="s">
        <v>14</v>
      </c>
      <c r="D52" s="3">
        <v>53</v>
      </c>
      <c r="E52" s="3" t="s">
        <v>59</v>
      </c>
      <c r="F52" s="4">
        <v>432454</v>
      </c>
      <c r="G52" s="4">
        <v>162456</v>
      </c>
      <c r="H52" s="4">
        <v>138809</v>
      </c>
      <c r="I52" s="3" t="s">
        <v>33</v>
      </c>
      <c r="J52" s="3" t="s">
        <v>24</v>
      </c>
    </row>
    <row r="53" spans="1:10" x14ac:dyDescent="0.3">
      <c r="A53" s="3" t="s">
        <v>178</v>
      </c>
      <c r="B53" s="3" t="s">
        <v>1145</v>
      </c>
      <c r="C53" s="3" t="s">
        <v>14</v>
      </c>
      <c r="D53" s="3">
        <v>36</v>
      </c>
      <c r="E53" s="3" t="s">
        <v>59</v>
      </c>
      <c r="F53" s="4">
        <v>498522</v>
      </c>
      <c r="G53" s="4">
        <v>128296</v>
      </c>
      <c r="H53" s="4">
        <v>102110</v>
      </c>
      <c r="I53" s="3" t="s">
        <v>16</v>
      </c>
      <c r="J53" s="3" t="s">
        <v>17</v>
      </c>
    </row>
    <row r="54" spans="1:10" x14ac:dyDescent="0.3">
      <c r="A54" s="3" t="s">
        <v>181</v>
      </c>
      <c r="B54" s="3" t="s">
        <v>1146</v>
      </c>
      <c r="C54" s="3" t="s">
        <v>21</v>
      </c>
      <c r="D54" s="3">
        <v>29</v>
      </c>
      <c r="E54" s="3" t="s">
        <v>22</v>
      </c>
      <c r="F54" s="4">
        <v>24638</v>
      </c>
      <c r="G54" s="4">
        <v>269939</v>
      </c>
      <c r="H54" s="4">
        <v>124648</v>
      </c>
      <c r="I54" s="3" t="s">
        <v>23</v>
      </c>
      <c r="J54" s="3" t="s">
        <v>24</v>
      </c>
    </row>
    <row r="55" spans="1:10" x14ac:dyDescent="0.3">
      <c r="A55" s="3" t="s">
        <v>184</v>
      </c>
      <c r="B55" s="3" t="s">
        <v>1147</v>
      </c>
      <c r="C55" s="3" t="s">
        <v>14</v>
      </c>
      <c r="D55" s="3">
        <v>26</v>
      </c>
      <c r="E55" s="3" t="s">
        <v>22</v>
      </c>
      <c r="F55" s="4">
        <v>154934</v>
      </c>
      <c r="G55" s="4">
        <v>59613</v>
      </c>
      <c r="H55" s="4">
        <v>70957</v>
      </c>
      <c r="I55" s="3" t="s">
        <v>23</v>
      </c>
      <c r="J55" s="3" t="s">
        <v>24</v>
      </c>
    </row>
    <row r="56" spans="1:10" x14ac:dyDescent="0.3">
      <c r="A56" s="3" t="s">
        <v>185</v>
      </c>
      <c r="B56" s="3" t="s">
        <v>1148</v>
      </c>
      <c r="C56" s="3" t="s">
        <v>21</v>
      </c>
      <c r="D56" s="3">
        <v>39</v>
      </c>
      <c r="E56" s="3" t="s">
        <v>22</v>
      </c>
      <c r="F56" s="4">
        <v>307691</v>
      </c>
      <c r="G56" s="4">
        <v>14360</v>
      </c>
      <c r="H56" s="4">
        <v>43277</v>
      </c>
      <c r="I56" s="3" t="s">
        <v>16</v>
      </c>
      <c r="J56" s="3" t="s">
        <v>24</v>
      </c>
    </row>
    <row r="57" spans="1:10" x14ac:dyDescent="0.3">
      <c r="A57" s="3" t="s">
        <v>187</v>
      </c>
      <c r="B57" s="3" t="s">
        <v>1149</v>
      </c>
      <c r="C57" s="3" t="s">
        <v>58</v>
      </c>
      <c r="D57" s="3">
        <v>39.868583162217661</v>
      </c>
      <c r="E57" s="3" t="s">
        <v>59</v>
      </c>
      <c r="F57" s="4">
        <v>389788</v>
      </c>
      <c r="G57" s="4">
        <v>111897</v>
      </c>
      <c r="H57" s="4">
        <v>21066</v>
      </c>
      <c r="I57" s="3" t="s">
        <v>16</v>
      </c>
      <c r="J57" s="3" t="s">
        <v>17</v>
      </c>
    </row>
    <row r="58" spans="1:10" x14ac:dyDescent="0.3">
      <c r="A58" s="3" t="s">
        <v>190</v>
      </c>
      <c r="B58" s="3" t="s">
        <v>1150</v>
      </c>
      <c r="C58" s="3" t="s">
        <v>21</v>
      </c>
      <c r="D58" s="3">
        <v>55</v>
      </c>
      <c r="E58" s="3" t="s">
        <v>59</v>
      </c>
      <c r="F58" s="4">
        <v>192435</v>
      </c>
      <c r="G58" s="4">
        <v>223701</v>
      </c>
      <c r="H58" s="4">
        <v>119441</v>
      </c>
      <c r="I58" s="3" t="s">
        <v>33</v>
      </c>
      <c r="J58" s="3" t="s">
        <v>17</v>
      </c>
    </row>
    <row r="59" spans="1:10" x14ac:dyDescent="0.3">
      <c r="A59" s="3" t="s">
        <v>193</v>
      </c>
      <c r="B59" s="3" t="s">
        <v>1151</v>
      </c>
      <c r="C59" s="3" t="s">
        <v>21</v>
      </c>
      <c r="D59" s="3">
        <v>35</v>
      </c>
      <c r="E59" s="3" t="s">
        <v>1590</v>
      </c>
      <c r="F59" s="4">
        <v>176061</v>
      </c>
      <c r="G59" s="4">
        <v>133505.5</v>
      </c>
      <c r="H59" s="4">
        <v>134466</v>
      </c>
      <c r="I59" s="3" t="s">
        <v>16</v>
      </c>
      <c r="J59" s="3" t="s">
        <v>24</v>
      </c>
    </row>
    <row r="60" spans="1:10" x14ac:dyDescent="0.3">
      <c r="A60" s="3" t="s">
        <v>196</v>
      </c>
      <c r="B60" s="3" t="s">
        <v>1152</v>
      </c>
      <c r="C60" s="3" t="s">
        <v>21</v>
      </c>
      <c r="D60" s="3">
        <v>25</v>
      </c>
      <c r="E60" s="3" t="s">
        <v>59</v>
      </c>
      <c r="F60" s="4">
        <v>157455</v>
      </c>
      <c r="G60" s="4">
        <v>31863</v>
      </c>
      <c r="H60" s="4">
        <v>127242</v>
      </c>
      <c r="I60" s="3" t="s">
        <v>16</v>
      </c>
      <c r="J60" s="3" t="s">
        <v>24</v>
      </c>
    </row>
    <row r="61" spans="1:10" x14ac:dyDescent="0.3">
      <c r="A61" s="3" t="s">
        <v>199</v>
      </c>
      <c r="B61" s="3" t="s">
        <v>1153</v>
      </c>
      <c r="C61" s="3" t="s">
        <v>48</v>
      </c>
      <c r="D61" s="3">
        <v>22</v>
      </c>
      <c r="E61" s="3" t="s">
        <v>22</v>
      </c>
      <c r="F61" s="4">
        <v>391639</v>
      </c>
      <c r="G61" s="4">
        <v>27554</v>
      </c>
      <c r="H61" s="4">
        <v>100523</v>
      </c>
      <c r="I61" s="3" t="s">
        <v>16</v>
      </c>
      <c r="J61" s="3" t="s">
        <v>24</v>
      </c>
    </row>
    <row r="62" spans="1:10" x14ac:dyDescent="0.3">
      <c r="A62" s="3" t="s">
        <v>202</v>
      </c>
      <c r="B62" s="3" t="s">
        <v>1154</v>
      </c>
      <c r="C62" s="3" t="s">
        <v>14</v>
      </c>
      <c r="D62" s="3">
        <v>24</v>
      </c>
      <c r="E62" s="3" t="s">
        <v>22</v>
      </c>
      <c r="F62" s="4">
        <v>252076.51219512196</v>
      </c>
      <c r="G62" s="4">
        <v>100584</v>
      </c>
      <c r="H62" s="4">
        <v>35602</v>
      </c>
      <c r="I62" s="3" t="s">
        <v>16</v>
      </c>
      <c r="J62" s="3" t="s">
        <v>24</v>
      </c>
    </row>
    <row r="63" spans="1:10" x14ac:dyDescent="0.3">
      <c r="A63" s="3" t="s">
        <v>205</v>
      </c>
      <c r="B63" s="3" t="s">
        <v>1155</v>
      </c>
      <c r="C63" s="3" t="s">
        <v>48</v>
      </c>
      <c r="D63" s="3">
        <v>22</v>
      </c>
      <c r="E63" s="3" t="s">
        <v>1590</v>
      </c>
      <c r="F63" s="4">
        <v>209286</v>
      </c>
      <c r="G63" s="4">
        <v>58952</v>
      </c>
      <c r="H63" s="4">
        <v>142309</v>
      </c>
      <c r="I63" s="3" t="s">
        <v>33</v>
      </c>
      <c r="J63" s="3" t="s">
        <v>17</v>
      </c>
    </row>
    <row r="64" spans="1:10" x14ac:dyDescent="0.3">
      <c r="A64" s="3" t="s">
        <v>208</v>
      </c>
      <c r="B64" s="3" t="s">
        <v>1156</v>
      </c>
      <c r="C64" s="3" t="s">
        <v>14</v>
      </c>
      <c r="D64" s="3">
        <v>32</v>
      </c>
      <c r="E64" s="3" t="s">
        <v>59</v>
      </c>
      <c r="F64" s="4">
        <v>320133</v>
      </c>
      <c r="G64" s="4">
        <v>68265</v>
      </c>
      <c r="H64" s="4">
        <v>96140</v>
      </c>
      <c r="I64" s="3" t="s">
        <v>23</v>
      </c>
      <c r="J64" s="3" t="s">
        <v>24</v>
      </c>
    </row>
    <row r="65" spans="1:10" x14ac:dyDescent="0.3">
      <c r="A65" s="3" t="s">
        <v>211</v>
      </c>
      <c r="B65" s="3" t="s">
        <v>1157</v>
      </c>
      <c r="C65" s="3" t="s">
        <v>58</v>
      </c>
      <c r="D65" s="3">
        <v>40</v>
      </c>
      <c r="E65" s="3" t="s">
        <v>22</v>
      </c>
      <c r="F65" s="4">
        <v>169071</v>
      </c>
      <c r="G65" s="4">
        <v>90389</v>
      </c>
      <c r="H65" s="4">
        <v>27537</v>
      </c>
      <c r="I65" s="3" t="s">
        <v>23</v>
      </c>
      <c r="J65" s="3" t="s">
        <v>17</v>
      </c>
    </row>
    <row r="66" spans="1:10" x14ac:dyDescent="0.3">
      <c r="A66" s="3" t="s">
        <v>214</v>
      </c>
      <c r="B66" s="3" t="s">
        <v>1158</v>
      </c>
      <c r="C66" s="3" t="s">
        <v>44</v>
      </c>
      <c r="D66" s="3">
        <v>51</v>
      </c>
      <c r="E66" s="3" t="s">
        <v>59</v>
      </c>
      <c r="F66" s="4">
        <v>369541</v>
      </c>
      <c r="G66" s="4">
        <v>273922</v>
      </c>
      <c r="H66" s="4">
        <v>37790</v>
      </c>
      <c r="I66" s="3" t="s">
        <v>33</v>
      </c>
      <c r="J66" s="3" t="s">
        <v>24</v>
      </c>
    </row>
    <row r="67" spans="1:10" x14ac:dyDescent="0.3">
      <c r="A67" s="3" t="s">
        <v>216</v>
      </c>
      <c r="B67" s="3" t="s">
        <v>1159</v>
      </c>
      <c r="C67" s="3" t="s">
        <v>21</v>
      </c>
      <c r="D67" s="3">
        <v>34</v>
      </c>
      <c r="E67" s="3" t="s">
        <v>59</v>
      </c>
      <c r="F67" s="4">
        <v>312648</v>
      </c>
      <c r="G67" s="4">
        <v>297858</v>
      </c>
      <c r="H67" s="4">
        <v>15872</v>
      </c>
      <c r="I67" s="3" t="s">
        <v>23</v>
      </c>
      <c r="J67" s="3" t="s">
        <v>24</v>
      </c>
    </row>
    <row r="68" spans="1:10" x14ac:dyDescent="0.3">
      <c r="A68" s="3" t="s">
        <v>218</v>
      </c>
      <c r="B68" s="3" t="s">
        <v>1160</v>
      </c>
      <c r="C68" s="3" t="s">
        <v>58</v>
      </c>
      <c r="D68" s="3">
        <v>35</v>
      </c>
      <c r="E68" s="3" t="s">
        <v>59</v>
      </c>
      <c r="F68" s="4">
        <v>254939</v>
      </c>
      <c r="G68" s="4">
        <v>23605</v>
      </c>
      <c r="H68" s="4">
        <v>45649</v>
      </c>
      <c r="I68" s="3" t="s">
        <v>33</v>
      </c>
      <c r="J68" s="3" t="s">
        <v>24</v>
      </c>
    </row>
    <row r="69" spans="1:10" x14ac:dyDescent="0.3">
      <c r="A69" s="3" t="s">
        <v>220</v>
      </c>
      <c r="B69" s="3" t="s">
        <v>1161</v>
      </c>
      <c r="C69" s="3" t="s">
        <v>44</v>
      </c>
      <c r="D69" s="3">
        <v>33</v>
      </c>
      <c r="E69" s="3" t="s">
        <v>22</v>
      </c>
      <c r="F69" s="4">
        <v>499776</v>
      </c>
      <c r="G69" s="4">
        <v>135392</v>
      </c>
      <c r="H69" s="4">
        <v>37056</v>
      </c>
      <c r="I69" s="3" t="s">
        <v>23</v>
      </c>
      <c r="J69" s="3" t="s">
        <v>24</v>
      </c>
    </row>
    <row r="70" spans="1:10" x14ac:dyDescent="0.3">
      <c r="A70" s="3" t="s">
        <v>223</v>
      </c>
      <c r="B70" s="3" t="s">
        <v>1162</v>
      </c>
      <c r="C70" s="3" t="s">
        <v>21</v>
      </c>
      <c r="D70" s="3">
        <v>50</v>
      </c>
      <c r="E70" s="3" t="s">
        <v>59</v>
      </c>
      <c r="F70" s="4">
        <v>242966</v>
      </c>
      <c r="G70" s="4">
        <v>244312</v>
      </c>
      <c r="H70" s="4">
        <v>144112</v>
      </c>
      <c r="I70" s="3" t="s">
        <v>23</v>
      </c>
      <c r="J70" s="3" t="s">
        <v>17</v>
      </c>
    </row>
    <row r="71" spans="1:10" x14ac:dyDescent="0.3">
      <c r="A71" s="3" t="s">
        <v>226</v>
      </c>
      <c r="B71" s="3" t="s">
        <v>1163</v>
      </c>
      <c r="C71" s="3" t="s">
        <v>44</v>
      </c>
      <c r="D71" s="3">
        <v>51</v>
      </c>
      <c r="E71" s="3" t="s">
        <v>22</v>
      </c>
      <c r="F71" s="4">
        <v>50013</v>
      </c>
      <c r="G71" s="4">
        <v>176423</v>
      </c>
      <c r="H71" s="4">
        <v>74597</v>
      </c>
      <c r="I71" s="3" t="s">
        <v>16</v>
      </c>
      <c r="J71" s="3" t="s">
        <v>17</v>
      </c>
    </row>
    <row r="72" spans="1:10" x14ac:dyDescent="0.3">
      <c r="A72" s="3" t="s">
        <v>229</v>
      </c>
      <c r="B72" s="3" t="s">
        <v>1164</v>
      </c>
      <c r="C72" s="3" t="s">
        <v>58</v>
      </c>
      <c r="D72" s="3">
        <v>31</v>
      </c>
      <c r="E72" s="3" t="s">
        <v>22</v>
      </c>
      <c r="F72" s="4">
        <v>252076.51219512196</v>
      </c>
      <c r="G72" s="4">
        <v>293560</v>
      </c>
      <c r="H72" s="4">
        <v>124760</v>
      </c>
      <c r="I72" s="3" t="s">
        <v>23</v>
      </c>
      <c r="J72" s="3" t="s">
        <v>24</v>
      </c>
    </row>
    <row r="73" spans="1:10" x14ac:dyDescent="0.3">
      <c r="A73" s="3" t="s">
        <v>231</v>
      </c>
      <c r="B73" s="3" t="s">
        <v>1165</v>
      </c>
      <c r="C73" s="3" t="s">
        <v>21</v>
      </c>
      <c r="D73" s="3">
        <v>53</v>
      </c>
      <c r="E73" s="3" t="s">
        <v>59</v>
      </c>
      <c r="F73" s="4">
        <v>128175</v>
      </c>
      <c r="G73" s="4">
        <v>66663</v>
      </c>
      <c r="H73" s="4">
        <v>77373</v>
      </c>
      <c r="I73" s="3" t="s">
        <v>16</v>
      </c>
      <c r="J73" s="3" t="s">
        <v>17</v>
      </c>
    </row>
    <row r="74" spans="1:10" x14ac:dyDescent="0.3">
      <c r="A74" s="3" t="s">
        <v>234</v>
      </c>
      <c r="B74" s="3" t="s">
        <v>1166</v>
      </c>
      <c r="C74" s="3" t="s">
        <v>44</v>
      </c>
      <c r="D74" s="3">
        <v>38</v>
      </c>
      <c r="E74" s="3" t="s">
        <v>22</v>
      </c>
      <c r="F74" s="4">
        <v>246560</v>
      </c>
      <c r="G74" s="4">
        <v>88354</v>
      </c>
      <c r="H74" s="4">
        <v>24069</v>
      </c>
      <c r="I74" s="3" t="s">
        <v>33</v>
      </c>
      <c r="J74" s="3" t="s">
        <v>17</v>
      </c>
    </row>
    <row r="75" spans="1:10" x14ac:dyDescent="0.3">
      <c r="A75" s="3" t="s">
        <v>237</v>
      </c>
      <c r="B75" s="3" t="s">
        <v>1167</v>
      </c>
      <c r="C75" s="3" t="s">
        <v>44</v>
      </c>
      <c r="D75" s="3">
        <v>42</v>
      </c>
      <c r="E75" s="3" t="s">
        <v>1590</v>
      </c>
      <c r="F75" s="4">
        <v>252076.51219512196</v>
      </c>
      <c r="G75" s="4">
        <v>104525</v>
      </c>
      <c r="H75" s="4">
        <v>14252</v>
      </c>
      <c r="I75" s="3" t="s">
        <v>23</v>
      </c>
      <c r="J75" s="3" t="s">
        <v>24</v>
      </c>
    </row>
    <row r="76" spans="1:10" x14ac:dyDescent="0.3">
      <c r="A76" s="3" t="s">
        <v>239</v>
      </c>
      <c r="B76" s="3" t="s">
        <v>1168</v>
      </c>
      <c r="C76" s="3" t="s">
        <v>48</v>
      </c>
      <c r="D76" s="3">
        <v>40</v>
      </c>
      <c r="E76" s="3" t="s">
        <v>59</v>
      </c>
      <c r="F76" s="4">
        <v>303558</v>
      </c>
      <c r="G76" s="4">
        <v>255099</v>
      </c>
      <c r="H76" s="4">
        <v>47105</v>
      </c>
      <c r="I76" s="3" t="s">
        <v>16</v>
      </c>
      <c r="J76" s="3" t="s">
        <v>24</v>
      </c>
    </row>
    <row r="77" spans="1:10" x14ac:dyDescent="0.3">
      <c r="A77" s="3" t="s">
        <v>242</v>
      </c>
      <c r="B77" s="3" t="s">
        <v>1169</v>
      </c>
      <c r="C77" s="3" t="s">
        <v>48</v>
      </c>
      <c r="D77" s="3">
        <v>31</v>
      </c>
      <c r="E77" s="3" t="s">
        <v>59</v>
      </c>
      <c r="F77" s="4">
        <v>175153</v>
      </c>
      <c r="G77" s="4">
        <v>208967</v>
      </c>
      <c r="H77" s="4">
        <v>63122</v>
      </c>
      <c r="I77" s="3" t="s">
        <v>23</v>
      </c>
      <c r="J77" s="3" t="s">
        <v>24</v>
      </c>
    </row>
    <row r="78" spans="1:10" x14ac:dyDescent="0.3">
      <c r="A78" s="3" t="s">
        <v>244</v>
      </c>
      <c r="B78" s="3" t="s">
        <v>1170</v>
      </c>
      <c r="C78" s="3" t="s">
        <v>48</v>
      </c>
      <c r="D78" s="3">
        <v>31</v>
      </c>
      <c r="E78" s="3" t="s">
        <v>59</v>
      </c>
      <c r="F78" s="4">
        <v>65007</v>
      </c>
      <c r="G78" s="4">
        <v>184413.71428571429</v>
      </c>
      <c r="H78" s="4">
        <v>97917</v>
      </c>
      <c r="I78" s="3" t="s">
        <v>33</v>
      </c>
      <c r="J78" s="3" t="s">
        <v>17</v>
      </c>
    </row>
    <row r="79" spans="1:10" x14ac:dyDescent="0.3">
      <c r="A79" s="3" t="s">
        <v>246</v>
      </c>
      <c r="B79" s="3" t="s">
        <v>1171</v>
      </c>
      <c r="C79" s="3" t="s">
        <v>58</v>
      </c>
      <c r="D79" s="3">
        <v>54</v>
      </c>
      <c r="E79" s="3" t="s">
        <v>1590</v>
      </c>
      <c r="F79" s="4">
        <v>240234</v>
      </c>
      <c r="G79" s="4">
        <v>292742</v>
      </c>
      <c r="H79" s="4">
        <v>58877</v>
      </c>
      <c r="I79" s="3" t="s">
        <v>33</v>
      </c>
      <c r="J79" s="3" t="s">
        <v>17</v>
      </c>
    </row>
    <row r="80" spans="1:10" x14ac:dyDescent="0.3">
      <c r="A80" s="3" t="s">
        <v>248</v>
      </c>
      <c r="B80" s="3" t="s">
        <v>1172</v>
      </c>
      <c r="C80" s="3" t="s">
        <v>44</v>
      </c>
      <c r="D80" s="3">
        <v>39</v>
      </c>
      <c r="E80" s="3" t="s">
        <v>59</v>
      </c>
      <c r="F80" s="4">
        <v>365810</v>
      </c>
      <c r="G80" s="4">
        <v>280288</v>
      </c>
      <c r="H80" s="4">
        <v>104256</v>
      </c>
      <c r="I80" s="3" t="s">
        <v>23</v>
      </c>
      <c r="J80" s="3" t="s">
        <v>17</v>
      </c>
    </row>
    <row r="81" spans="1:10" x14ac:dyDescent="0.3">
      <c r="A81" s="3" t="s">
        <v>250</v>
      </c>
      <c r="B81" s="3" t="s">
        <v>1173</v>
      </c>
      <c r="C81" s="3" t="s">
        <v>48</v>
      </c>
      <c r="D81" s="3">
        <v>42</v>
      </c>
      <c r="E81" s="3" t="s">
        <v>59</v>
      </c>
      <c r="F81" s="4">
        <v>271152</v>
      </c>
      <c r="G81" s="4">
        <v>123703</v>
      </c>
      <c r="H81" s="4">
        <v>41784</v>
      </c>
      <c r="I81" s="3" t="s">
        <v>16</v>
      </c>
      <c r="J81" s="3" t="s">
        <v>17</v>
      </c>
    </row>
    <row r="82" spans="1:10" x14ac:dyDescent="0.3">
      <c r="A82" s="3" t="s">
        <v>252</v>
      </c>
      <c r="B82" s="3" t="s">
        <v>1174</v>
      </c>
      <c r="C82" s="3" t="s">
        <v>21</v>
      </c>
      <c r="D82" s="3">
        <v>26</v>
      </c>
      <c r="E82" s="3" t="s">
        <v>1590</v>
      </c>
      <c r="F82" s="4">
        <v>276817</v>
      </c>
      <c r="G82" s="4">
        <v>21940</v>
      </c>
      <c r="H82" s="4">
        <v>121421</v>
      </c>
      <c r="I82" s="3" t="s">
        <v>33</v>
      </c>
      <c r="J82" s="3" t="s">
        <v>24</v>
      </c>
    </row>
    <row r="83" spans="1:10" x14ac:dyDescent="0.3">
      <c r="A83" s="3" t="s">
        <v>254</v>
      </c>
      <c r="B83" s="3" t="s">
        <v>1175</v>
      </c>
      <c r="C83" s="3" t="s">
        <v>44</v>
      </c>
      <c r="D83" s="3">
        <v>48</v>
      </c>
      <c r="E83" s="3" t="s">
        <v>22</v>
      </c>
      <c r="F83" s="4">
        <v>162326</v>
      </c>
      <c r="G83" s="4">
        <v>33262</v>
      </c>
      <c r="H83" s="4">
        <v>11683</v>
      </c>
      <c r="I83" s="3" t="s">
        <v>23</v>
      </c>
      <c r="J83" s="3" t="s">
        <v>17</v>
      </c>
    </row>
    <row r="84" spans="1:10" x14ac:dyDescent="0.3">
      <c r="A84" s="3" t="s">
        <v>257</v>
      </c>
      <c r="B84" s="3" t="s">
        <v>1176</v>
      </c>
      <c r="C84" s="3" t="s">
        <v>58</v>
      </c>
      <c r="D84" s="3">
        <v>44</v>
      </c>
      <c r="E84" s="3" t="s">
        <v>22</v>
      </c>
      <c r="F84" s="4">
        <v>26693</v>
      </c>
      <c r="G84" s="4">
        <v>164325</v>
      </c>
      <c r="H84" s="4">
        <v>59378</v>
      </c>
      <c r="I84" s="3" t="s">
        <v>23</v>
      </c>
      <c r="J84" s="3" t="s">
        <v>17</v>
      </c>
    </row>
    <row r="85" spans="1:10" x14ac:dyDescent="0.3">
      <c r="A85" s="3" t="s">
        <v>259</v>
      </c>
      <c r="B85" s="3" t="s">
        <v>1177</v>
      </c>
      <c r="C85" s="3" t="s">
        <v>21</v>
      </c>
      <c r="D85" s="3">
        <v>22</v>
      </c>
      <c r="E85" s="3" t="s">
        <v>22</v>
      </c>
      <c r="F85" s="4">
        <v>253095</v>
      </c>
      <c r="G85" s="4">
        <v>151123</v>
      </c>
      <c r="H85" s="4">
        <v>16393</v>
      </c>
      <c r="I85" s="3" t="s">
        <v>16</v>
      </c>
      <c r="J85" s="3" t="s">
        <v>24</v>
      </c>
    </row>
    <row r="86" spans="1:10" x14ac:dyDescent="0.3">
      <c r="A86" s="3" t="s">
        <v>262</v>
      </c>
      <c r="B86" s="3" t="s">
        <v>1178</v>
      </c>
      <c r="C86" s="3" t="s">
        <v>44</v>
      </c>
      <c r="D86" s="3">
        <v>50</v>
      </c>
      <c r="E86" s="3" t="s">
        <v>22</v>
      </c>
      <c r="F86" s="4">
        <v>252076.51219512196</v>
      </c>
      <c r="G86" s="4">
        <v>191793</v>
      </c>
      <c r="H86" s="4">
        <v>73677</v>
      </c>
      <c r="I86" s="3" t="s">
        <v>33</v>
      </c>
      <c r="J86" s="3" t="s">
        <v>24</v>
      </c>
    </row>
    <row r="87" spans="1:10" x14ac:dyDescent="0.3">
      <c r="A87" s="3" t="s">
        <v>264</v>
      </c>
      <c r="B87" s="3" t="s">
        <v>1179</v>
      </c>
      <c r="C87" s="3" t="s">
        <v>21</v>
      </c>
      <c r="D87" s="3">
        <v>29</v>
      </c>
      <c r="E87" s="3" t="s">
        <v>59</v>
      </c>
      <c r="F87" s="4">
        <v>465709</v>
      </c>
      <c r="G87" s="4">
        <v>273873</v>
      </c>
      <c r="H87" s="4">
        <v>80064</v>
      </c>
      <c r="I87" s="3" t="s">
        <v>33</v>
      </c>
      <c r="J87" s="3" t="s">
        <v>17</v>
      </c>
    </row>
    <row r="88" spans="1:10" x14ac:dyDescent="0.3">
      <c r="A88" s="3" t="s">
        <v>266</v>
      </c>
      <c r="B88" s="3" t="s">
        <v>1180</v>
      </c>
      <c r="C88" s="3" t="s">
        <v>58</v>
      </c>
      <c r="D88" s="3">
        <v>26</v>
      </c>
      <c r="E88" s="3" t="s">
        <v>59</v>
      </c>
      <c r="F88" s="4">
        <v>243375</v>
      </c>
      <c r="G88" s="4">
        <v>144627.29999999999</v>
      </c>
      <c r="H88" s="4">
        <v>103915</v>
      </c>
      <c r="I88" s="3" t="s">
        <v>23</v>
      </c>
      <c r="J88" s="3" t="s">
        <v>24</v>
      </c>
    </row>
    <row r="89" spans="1:10" x14ac:dyDescent="0.3">
      <c r="A89" s="3" t="s">
        <v>268</v>
      </c>
      <c r="B89" s="3" t="s">
        <v>1181</v>
      </c>
      <c r="C89" s="3" t="s">
        <v>14</v>
      </c>
      <c r="D89" s="3">
        <v>50</v>
      </c>
      <c r="E89" s="3" t="s">
        <v>1590</v>
      </c>
      <c r="F89" s="4">
        <v>319309</v>
      </c>
      <c r="G89" s="4">
        <v>70456</v>
      </c>
      <c r="H89" s="4">
        <v>47810</v>
      </c>
      <c r="I89" s="3" t="s">
        <v>23</v>
      </c>
      <c r="J89" s="3" t="s">
        <v>24</v>
      </c>
    </row>
    <row r="90" spans="1:10" x14ac:dyDescent="0.3">
      <c r="A90" s="3" t="s">
        <v>271</v>
      </c>
      <c r="B90" s="3" t="s">
        <v>1182</v>
      </c>
      <c r="C90" s="3" t="s">
        <v>58</v>
      </c>
      <c r="D90" s="3">
        <v>52</v>
      </c>
      <c r="E90" s="3" t="s">
        <v>59</v>
      </c>
      <c r="F90" s="4">
        <v>478333</v>
      </c>
      <c r="G90" s="4">
        <v>15424</v>
      </c>
      <c r="H90" s="4">
        <v>96576</v>
      </c>
      <c r="I90" s="3" t="s">
        <v>33</v>
      </c>
      <c r="J90" s="3" t="s">
        <v>24</v>
      </c>
    </row>
    <row r="91" spans="1:10" x14ac:dyDescent="0.3">
      <c r="A91" s="3" t="s">
        <v>272</v>
      </c>
      <c r="B91" s="3" t="s">
        <v>1183</v>
      </c>
      <c r="C91" s="3" t="s">
        <v>58</v>
      </c>
      <c r="D91" s="3">
        <v>58</v>
      </c>
      <c r="E91" s="3" t="s">
        <v>22</v>
      </c>
      <c r="F91" s="4">
        <v>259971</v>
      </c>
      <c r="G91" s="4">
        <v>86493</v>
      </c>
      <c r="H91" s="4">
        <v>35064</v>
      </c>
      <c r="I91" s="3" t="s">
        <v>23</v>
      </c>
      <c r="J91" s="3" t="s">
        <v>17</v>
      </c>
    </row>
    <row r="92" spans="1:10" x14ac:dyDescent="0.3">
      <c r="A92" s="3" t="s">
        <v>273</v>
      </c>
      <c r="B92" s="3" t="s">
        <v>1184</v>
      </c>
      <c r="C92" s="3" t="s">
        <v>14</v>
      </c>
      <c r="D92" s="3">
        <v>37</v>
      </c>
      <c r="E92" s="3" t="s">
        <v>22</v>
      </c>
      <c r="F92" s="4">
        <v>244438</v>
      </c>
      <c r="G92" s="4">
        <v>198147</v>
      </c>
      <c r="H92" s="4">
        <v>18978</v>
      </c>
      <c r="I92" s="3" t="s">
        <v>23</v>
      </c>
      <c r="J92" s="3" t="s">
        <v>24</v>
      </c>
    </row>
    <row r="93" spans="1:10" x14ac:dyDescent="0.3">
      <c r="A93" s="3" t="s">
        <v>276</v>
      </c>
      <c r="B93" s="3" t="s">
        <v>1185</v>
      </c>
      <c r="C93" s="3" t="s">
        <v>21</v>
      </c>
      <c r="D93" s="3">
        <v>44</v>
      </c>
      <c r="E93" s="3" t="s">
        <v>59</v>
      </c>
      <c r="F93" s="4">
        <v>191107</v>
      </c>
      <c r="G93" s="4">
        <v>18042</v>
      </c>
      <c r="H93" s="4">
        <v>95357</v>
      </c>
      <c r="I93" s="3" t="s">
        <v>33</v>
      </c>
      <c r="J93" s="3" t="s">
        <v>24</v>
      </c>
    </row>
    <row r="94" spans="1:10" x14ac:dyDescent="0.3">
      <c r="A94" s="3" t="s">
        <v>279</v>
      </c>
      <c r="B94" s="3" t="s">
        <v>1186</v>
      </c>
      <c r="C94" s="3" t="s">
        <v>14</v>
      </c>
      <c r="D94" s="3">
        <v>46</v>
      </c>
      <c r="E94" s="3" t="s">
        <v>59</v>
      </c>
      <c r="F94" s="4">
        <v>26630</v>
      </c>
      <c r="G94" s="4">
        <v>44901</v>
      </c>
      <c r="H94" s="4">
        <v>141490</v>
      </c>
      <c r="I94" s="3" t="s">
        <v>16</v>
      </c>
      <c r="J94" s="3" t="s">
        <v>24</v>
      </c>
    </row>
    <row r="95" spans="1:10" x14ac:dyDescent="0.3">
      <c r="A95" s="3" t="s">
        <v>280</v>
      </c>
      <c r="B95" s="3" t="s">
        <v>1187</v>
      </c>
      <c r="C95" s="3" t="s">
        <v>48</v>
      </c>
      <c r="D95" s="3">
        <v>36</v>
      </c>
      <c r="E95" s="3" t="s">
        <v>22</v>
      </c>
      <c r="F95" s="4">
        <v>489137</v>
      </c>
      <c r="G95" s="4">
        <v>10926</v>
      </c>
      <c r="H95" s="4">
        <v>147692</v>
      </c>
      <c r="I95" s="3" t="s">
        <v>23</v>
      </c>
      <c r="J95" s="3" t="s">
        <v>24</v>
      </c>
    </row>
    <row r="96" spans="1:10" x14ac:dyDescent="0.3">
      <c r="A96" s="3" t="s">
        <v>283</v>
      </c>
      <c r="B96" s="3" t="s">
        <v>1188</v>
      </c>
      <c r="C96" s="3" t="s">
        <v>44</v>
      </c>
      <c r="D96" s="3">
        <v>22</v>
      </c>
      <c r="E96" s="3" t="s">
        <v>22</v>
      </c>
      <c r="F96" s="4">
        <v>157271</v>
      </c>
      <c r="G96" s="4">
        <v>282313</v>
      </c>
      <c r="H96" s="4">
        <v>76580</v>
      </c>
      <c r="I96" s="3" t="s">
        <v>16</v>
      </c>
      <c r="J96" s="3" t="s">
        <v>17</v>
      </c>
    </row>
    <row r="97" spans="1:10" x14ac:dyDescent="0.3">
      <c r="A97" s="3" t="s">
        <v>285</v>
      </c>
      <c r="B97" s="3" t="s">
        <v>1189</v>
      </c>
      <c r="C97" s="3" t="s">
        <v>21</v>
      </c>
      <c r="D97" s="3">
        <v>52</v>
      </c>
      <c r="E97" s="3" t="s">
        <v>22</v>
      </c>
      <c r="F97" s="4">
        <v>450848</v>
      </c>
      <c r="G97" s="4">
        <v>97292</v>
      </c>
      <c r="H97" s="4">
        <v>91197</v>
      </c>
      <c r="I97" s="3" t="s">
        <v>33</v>
      </c>
      <c r="J97" s="3" t="s">
        <v>17</v>
      </c>
    </row>
    <row r="98" spans="1:10" x14ac:dyDescent="0.3">
      <c r="A98" s="3" t="s">
        <v>288</v>
      </c>
      <c r="B98" s="3" t="s">
        <v>1190</v>
      </c>
      <c r="C98" s="3" t="s">
        <v>58</v>
      </c>
      <c r="D98" s="3">
        <v>42</v>
      </c>
      <c r="E98" s="3" t="s">
        <v>1590</v>
      </c>
      <c r="F98" s="4">
        <v>342738</v>
      </c>
      <c r="G98" s="4">
        <v>3460</v>
      </c>
      <c r="H98" s="4">
        <v>89204</v>
      </c>
      <c r="I98" s="3" t="s">
        <v>33</v>
      </c>
      <c r="J98" s="3" t="s">
        <v>24</v>
      </c>
    </row>
    <row r="99" spans="1:10" x14ac:dyDescent="0.3">
      <c r="A99" s="3" t="s">
        <v>291</v>
      </c>
      <c r="B99" s="3" t="s">
        <v>1191</v>
      </c>
      <c r="C99" s="3" t="s">
        <v>14</v>
      </c>
      <c r="D99" s="3">
        <v>55</v>
      </c>
      <c r="E99" s="3" t="s">
        <v>59</v>
      </c>
      <c r="F99" s="4">
        <v>440079</v>
      </c>
      <c r="G99" s="4">
        <v>79425</v>
      </c>
      <c r="H99" s="4">
        <v>92567</v>
      </c>
      <c r="I99" s="3" t="s">
        <v>23</v>
      </c>
      <c r="J99" s="3" t="s">
        <v>24</v>
      </c>
    </row>
    <row r="100" spans="1:10" x14ac:dyDescent="0.3">
      <c r="A100" s="3" t="s">
        <v>293</v>
      </c>
      <c r="B100" s="3" t="s">
        <v>1192</v>
      </c>
      <c r="C100" s="3" t="s">
        <v>48</v>
      </c>
      <c r="D100" s="3">
        <v>37</v>
      </c>
      <c r="E100" s="3" t="s">
        <v>1590</v>
      </c>
      <c r="F100" s="4">
        <v>367420</v>
      </c>
      <c r="G100" s="4">
        <v>62562</v>
      </c>
      <c r="H100" s="4">
        <v>46449</v>
      </c>
      <c r="I100" s="3" t="s">
        <v>23</v>
      </c>
      <c r="J100" s="3" t="s">
        <v>17</v>
      </c>
    </row>
    <row r="101" spans="1:10" x14ac:dyDescent="0.3">
      <c r="A101" s="3" t="s">
        <v>296</v>
      </c>
      <c r="B101" s="3" t="s">
        <v>1193</v>
      </c>
      <c r="C101" s="3" t="s">
        <v>44</v>
      </c>
      <c r="D101" s="3">
        <v>36</v>
      </c>
      <c r="E101" s="3" t="s">
        <v>22</v>
      </c>
      <c r="F101" s="4">
        <v>231646</v>
      </c>
      <c r="G101" s="4">
        <v>257042</v>
      </c>
      <c r="H101" s="4">
        <v>42793</v>
      </c>
      <c r="I101" s="3" t="s">
        <v>23</v>
      </c>
      <c r="J101" s="3" t="s">
        <v>24</v>
      </c>
    </row>
    <row r="102" spans="1:10" x14ac:dyDescent="0.3">
      <c r="A102" s="3" t="s">
        <v>298</v>
      </c>
      <c r="B102" s="3" t="s">
        <v>1194</v>
      </c>
      <c r="C102" s="3" t="s">
        <v>48</v>
      </c>
      <c r="D102" s="3">
        <v>45</v>
      </c>
      <c r="E102" s="3" t="s">
        <v>59</v>
      </c>
      <c r="F102" s="4">
        <v>374377</v>
      </c>
      <c r="G102" s="4">
        <v>224721</v>
      </c>
      <c r="H102" s="4">
        <v>13573</v>
      </c>
      <c r="I102" s="3" t="s">
        <v>16</v>
      </c>
      <c r="J102" s="3" t="s">
        <v>24</v>
      </c>
    </row>
    <row r="103" spans="1:10" x14ac:dyDescent="0.3">
      <c r="A103" s="3" t="s">
        <v>301</v>
      </c>
      <c r="B103" s="3" t="s">
        <v>1195</v>
      </c>
      <c r="C103" s="3" t="s">
        <v>21</v>
      </c>
      <c r="D103" s="3">
        <v>35</v>
      </c>
      <c r="E103" s="3" t="s">
        <v>22</v>
      </c>
      <c r="F103" s="4">
        <v>114889</v>
      </c>
      <c r="G103" s="4">
        <v>170333</v>
      </c>
      <c r="H103" s="4">
        <v>52787</v>
      </c>
      <c r="I103" s="3" t="s">
        <v>33</v>
      </c>
      <c r="J103" s="3" t="s">
        <v>24</v>
      </c>
    </row>
    <row r="104" spans="1:10" x14ac:dyDescent="0.3">
      <c r="A104" s="3" t="s">
        <v>304</v>
      </c>
      <c r="B104" s="3" t="s">
        <v>1196</v>
      </c>
      <c r="C104" s="3" t="s">
        <v>48</v>
      </c>
      <c r="D104" s="3">
        <v>44</v>
      </c>
      <c r="E104" s="3" t="s">
        <v>1590</v>
      </c>
      <c r="F104" s="4">
        <v>8871</v>
      </c>
      <c r="G104" s="4">
        <v>143048</v>
      </c>
      <c r="H104" s="4">
        <v>136897</v>
      </c>
      <c r="I104" s="3" t="s">
        <v>23</v>
      </c>
      <c r="J104" s="3" t="s">
        <v>17</v>
      </c>
    </row>
    <row r="105" spans="1:10" x14ac:dyDescent="0.3">
      <c r="A105" s="3" t="s">
        <v>307</v>
      </c>
      <c r="B105" s="3" t="s">
        <v>1197</v>
      </c>
      <c r="C105" s="3" t="s">
        <v>21</v>
      </c>
      <c r="D105" s="3">
        <v>44</v>
      </c>
      <c r="E105" s="3" t="s">
        <v>59</v>
      </c>
      <c r="F105" s="4">
        <v>120703</v>
      </c>
      <c r="G105" s="4">
        <v>2085</v>
      </c>
      <c r="H105" s="4">
        <v>105067</v>
      </c>
      <c r="I105" s="3" t="s">
        <v>16</v>
      </c>
      <c r="J105" s="3" t="s">
        <v>24</v>
      </c>
    </row>
    <row r="106" spans="1:10" x14ac:dyDescent="0.3">
      <c r="A106" s="3" t="s">
        <v>310</v>
      </c>
      <c r="B106" s="3" t="s">
        <v>1198</v>
      </c>
      <c r="C106" s="3" t="s">
        <v>44</v>
      </c>
      <c r="D106" s="3">
        <v>38</v>
      </c>
      <c r="E106" s="3" t="s">
        <v>22</v>
      </c>
      <c r="F106" s="4">
        <v>198032</v>
      </c>
      <c r="G106" s="4">
        <v>115288</v>
      </c>
      <c r="H106" s="4">
        <v>131182</v>
      </c>
      <c r="I106" s="3" t="s">
        <v>16</v>
      </c>
      <c r="J106" s="3" t="s">
        <v>17</v>
      </c>
    </row>
    <row r="107" spans="1:10" x14ac:dyDescent="0.3">
      <c r="A107" s="3" t="s">
        <v>312</v>
      </c>
      <c r="B107" s="3" t="s">
        <v>1199</v>
      </c>
      <c r="C107" s="3" t="s">
        <v>44</v>
      </c>
      <c r="D107" s="3">
        <v>57</v>
      </c>
      <c r="E107" s="3" t="s">
        <v>22</v>
      </c>
      <c r="F107" s="4">
        <v>335897</v>
      </c>
      <c r="G107" s="4">
        <v>33389</v>
      </c>
      <c r="H107" s="4">
        <v>120473</v>
      </c>
      <c r="I107" s="3" t="s">
        <v>16</v>
      </c>
      <c r="J107" s="3" t="s">
        <v>24</v>
      </c>
    </row>
    <row r="108" spans="1:10" x14ac:dyDescent="0.3">
      <c r="A108" s="3" t="s">
        <v>314</v>
      </c>
      <c r="B108" s="3" t="s">
        <v>1200</v>
      </c>
      <c r="C108" s="3" t="s">
        <v>44</v>
      </c>
      <c r="D108" s="3">
        <v>33</v>
      </c>
      <c r="E108" s="3" t="s">
        <v>22</v>
      </c>
      <c r="F108" s="4">
        <v>238803</v>
      </c>
      <c r="G108" s="4">
        <v>156800.92307692306</v>
      </c>
      <c r="H108" s="4">
        <v>115518</v>
      </c>
      <c r="I108" s="3" t="s">
        <v>23</v>
      </c>
      <c r="J108" s="3" t="s">
        <v>17</v>
      </c>
    </row>
    <row r="109" spans="1:10" x14ac:dyDescent="0.3">
      <c r="A109" s="3" t="s">
        <v>316</v>
      </c>
      <c r="B109" s="3" t="s">
        <v>1201</v>
      </c>
      <c r="C109" s="3" t="s">
        <v>58</v>
      </c>
      <c r="D109" s="3">
        <v>33</v>
      </c>
      <c r="E109" s="3" t="s">
        <v>22</v>
      </c>
      <c r="F109" s="4">
        <v>252076.51219512196</v>
      </c>
      <c r="G109" s="4">
        <v>136824</v>
      </c>
      <c r="H109" s="4">
        <v>97308</v>
      </c>
      <c r="I109" s="3" t="s">
        <v>16</v>
      </c>
      <c r="J109" s="3" t="s">
        <v>24</v>
      </c>
    </row>
    <row r="110" spans="1:10" x14ac:dyDescent="0.3">
      <c r="A110" s="3" t="s">
        <v>319</v>
      </c>
      <c r="B110" s="3" t="s">
        <v>1202</v>
      </c>
      <c r="C110" s="3" t="s">
        <v>48</v>
      </c>
      <c r="D110" s="3">
        <v>34</v>
      </c>
      <c r="E110" s="3" t="s">
        <v>1590</v>
      </c>
      <c r="F110" s="4">
        <v>16297</v>
      </c>
      <c r="G110" s="4">
        <v>208977</v>
      </c>
      <c r="H110" s="4">
        <v>41802</v>
      </c>
      <c r="I110" s="3" t="s">
        <v>16</v>
      </c>
      <c r="J110" s="3" t="s">
        <v>24</v>
      </c>
    </row>
    <row r="111" spans="1:10" x14ac:dyDescent="0.3">
      <c r="A111" s="3" t="s">
        <v>321</v>
      </c>
      <c r="B111" s="3" t="s">
        <v>1203</v>
      </c>
      <c r="C111" s="3" t="s">
        <v>58</v>
      </c>
      <c r="D111" s="3">
        <v>35</v>
      </c>
      <c r="E111" s="3" t="s">
        <v>59</v>
      </c>
      <c r="F111" s="4">
        <v>80267</v>
      </c>
      <c r="G111" s="4">
        <v>33899</v>
      </c>
      <c r="H111" s="4">
        <v>99816</v>
      </c>
      <c r="I111" s="3" t="s">
        <v>33</v>
      </c>
      <c r="J111" s="3" t="s">
        <v>17</v>
      </c>
    </row>
    <row r="112" spans="1:10" x14ac:dyDescent="0.3">
      <c r="A112" s="3" t="s">
        <v>323</v>
      </c>
      <c r="B112" s="3" t="s">
        <v>1204</v>
      </c>
      <c r="C112" s="3" t="s">
        <v>58</v>
      </c>
      <c r="D112" s="3">
        <v>45</v>
      </c>
      <c r="E112" s="3" t="s">
        <v>59</v>
      </c>
      <c r="F112" s="4">
        <v>252076.51219512196</v>
      </c>
      <c r="G112" s="4">
        <v>48154</v>
      </c>
      <c r="H112" s="4">
        <v>50530</v>
      </c>
      <c r="I112" s="3" t="s">
        <v>23</v>
      </c>
      <c r="J112" s="3" t="s">
        <v>24</v>
      </c>
    </row>
    <row r="113" spans="1:10" x14ac:dyDescent="0.3">
      <c r="A113" s="3" t="s">
        <v>326</v>
      </c>
      <c r="B113" s="3" t="s">
        <v>1205</v>
      </c>
      <c r="C113" s="3" t="s">
        <v>14</v>
      </c>
      <c r="D113" s="3">
        <v>44</v>
      </c>
      <c r="E113" s="3" t="s">
        <v>59</v>
      </c>
      <c r="F113" s="4">
        <v>80503</v>
      </c>
      <c r="G113" s="4">
        <v>33346</v>
      </c>
      <c r="H113" s="4">
        <v>137146</v>
      </c>
      <c r="I113" s="3" t="s">
        <v>16</v>
      </c>
      <c r="J113" s="3" t="s">
        <v>24</v>
      </c>
    </row>
    <row r="114" spans="1:10" x14ac:dyDescent="0.3">
      <c r="A114" s="3" t="s">
        <v>329</v>
      </c>
      <c r="B114" s="3" t="s">
        <v>1206</v>
      </c>
      <c r="C114" s="3" t="s">
        <v>14</v>
      </c>
      <c r="D114" s="3">
        <v>29</v>
      </c>
      <c r="E114" s="3" t="s">
        <v>59</v>
      </c>
      <c r="F114" s="4">
        <v>127763</v>
      </c>
      <c r="G114" s="4">
        <v>126448</v>
      </c>
      <c r="H114" s="4">
        <v>116625</v>
      </c>
      <c r="I114" s="3" t="s">
        <v>16</v>
      </c>
      <c r="J114" s="3" t="s">
        <v>17</v>
      </c>
    </row>
    <row r="115" spans="1:10" x14ac:dyDescent="0.3">
      <c r="A115" s="3" t="s">
        <v>331</v>
      </c>
      <c r="B115" s="3" t="s">
        <v>1207</v>
      </c>
      <c r="C115" s="3" t="s">
        <v>21</v>
      </c>
      <c r="D115" s="3">
        <v>51</v>
      </c>
      <c r="E115" s="3" t="s">
        <v>59</v>
      </c>
      <c r="F115" s="4">
        <v>281645</v>
      </c>
      <c r="G115" s="4">
        <v>292</v>
      </c>
      <c r="H115" s="4">
        <v>138939</v>
      </c>
      <c r="I115" s="3" t="s">
        <v>16</v>
      </c>
      <c r="J115" s="3" t="s">
        <v>17</v>
      </c>
    </row>
    <row r="116" spans="1:10" x14ac:dyDescent="0.3">
      <c r="A116" s="3" t="s">
        <v>333</v>
      </c>
      <c r="B116" s="3" t="s">
        <v>1208</v>
      </c>
      <c r="C116" s="3" t="s">
        <v>14</v>
      </c>
      <c r="D116" s="3">
        <v>25</v>
      </c>
      <c r="E116" s="3" t="s">
        <v>22</v>
      </c>
      <c r="F116" s="4">
        <v>398354</v>
      </c>
      <c r="G116" s="4">
        <v>123833</v>
      </c>
      <c r="H116" s="4">
        <v>31685</v>
      </c>
      <c r="I116" s="3" t="s">
        <v>33</v>
      </c>
      <c r="J116" s="3" t="s">
        <v>24</v>
      </c>
    </row>
    <row r="117" spans="1:10" x14ac:dyDescent="0.3">
      <c r="A117" s="3" t="s">
        <v>336</v>
      </c>
      <c r="B117" s="3" t="s">
        <v>1209</v>
      </c>
      <c r="C117" s="3" t="s">
        <v>58</v>
      </c>
      <c r="D117" s="3">
        <v>27</v>
      </c>
      <c r="E117" s="3" t="s">
        <v>1590</v>
      </c>
      <c r="F117" s="4">
        <v>92335</v>
      </c>
      <c r="G117" s="4">
        <v>282803</v>
      </c>
      <c r="H117" s="4">
        <v>83920</v>
      </c>
      <c r="I117" s="3" t="s">
        <v>16</v>
      </c>
      <c r="J117" s="3" t="s">
        <v>17</v>
      </c>
    </row>
    <row r="118" spans="1:10" x14ac:dyDescent="0.3">
      <c r="A118" s="3" t="s">
        <v>339</v>
      </c>
      <c r="B118" s="3" t="s">
        <v>1210</v>
      </c>
      <c r="C118" s="3" t="s">
        <v>21</v>
      </c>
      <c r="D118" s="3">
        <v>32</v>
      </c>
      <c r="E118" s="3" t="s">
        <v>22</v>
      </c>
      <c r="F118" s="4">
        <v>212363</v>
      </c>
      <c r="G118" s="4">
        <v>125112</v>
      </c>
      <c r="H118" s="4">
        <v>59296</v>
      </c>
      <c r="I118" s="3" t="s">
        <v>33</v>
      </c>
      <c r="J118" s="3" t="s">
        <v>17</v>
      </c>
    </row>
    <row r="119" spans="1:10" x14ac:dyDescent="0.3">
      <c r="A119" s="3" t="s">
        <v>342</v>
      </c>
      <c r="B119" s="3" t="s">
        <v>1211</v>
      </c>
      <c r="C119" s="3" t="s">
        <v>48</v>
      </c>
      <c r="D119" s="3">
        <v>56</v>
      </c>
      <c r="E119" s="3" t="s">
        <v>59</v>
      </c>
      <c r="F119" s="4">
        <v>252076.51219512196</v>
      </c>
      <c r="G119" s="4">
        <v>108865</v>
      </c>
      <c r="H119" s="4">
        <v>16616</v>
      </c>
      <c r="I119" s="3" t="s">
        <v>23</v>
      </c>
      <c r="J119" s="3" t="s">
        <v>24</v>
      </c>
    </row>
    <row r="120" spans="1:10" x14ac:dyDescent="0.3">
      <c r="A120" s="3" t="s">
        <v>345</v>
      </c>
      <c r="B120" s="3" t="s">
        <v>1212</v>
      </c>
      <c r="C120" s="3" t="s">
        <v>44</v>
      </c>
      <c r="D120" s="3">
        <v>21</v>
      </c>
      <c r="E120" s="3" t="s">
        <v>22</v>
      </c>
      <c r="F120" s="4">
        <v>398885</v>
      </c>
      <c r="G120" s="4">
        <v>113155</v>
      </c>
      <c r="H120" s="4">
        <v>82448</v>
      </c>
      <c r="I120" s="3" t="s">
        <v>33</v>
      </c>
      <c r="J120" s="3" t="s">
        <v>24</v>
      </c>
    </row>
    <row r="121" spans="1:10" x14ac:dyDescent="0.3">
      <c r="A121" s="3" t="s">
        <v>347</v>
      </c>
      <c r="B121" s="3" t="s">
        <v>1213</v>
      </c>
      <c r="C121" s="3" t="s">
        <v>14</v>
      </c>
      <c r="D121" s="3">
        <v>28</v>
      </c>
      <c r="E121" s="3" t="s">
        <v>22</v>
      </c>
      <c r="F121" s="4">
        <v>175622</v>
      </c>
      <c r="G121" s="4">
        <v>109133.41176470589</v>
      </c>
      <c r="H121" s="4">
        <v>115068</v>
      </c>
      <c r="I121" s="3" t="s">
        <v>23</v>
      </c>
      <c r="J121" s="3" t="s">
        <v>24</v>
      </c>
    </row>
    <row r="122" spans="1:10" x14ac:dyDescent="0.3">
      <c r="A122" s="3" t="s">
        <v>349</v>
      </c>
      <c r="B122" s="3" t="s">
        <v>1214</v>
      </c>
      <c r="C122" s="3" t="s">
        <v>14</v>
      </c>
      <c r="D122" s="3">
        <v>46</v>
      </c>
      <c r="E122" s="3" t="s">
        <v>22</v>
      </c>
      <c r="F122" s="4">
        <v>224551</v>
      </c>
      <c r="G122" s="4">
        <v>121925</v>
      </c>
      <c r="H122" s="4">
        <v>116065</v>
      </c>
      <c r="I122" s="3" t="s">
        <v>33</v>
      </c>
      <c r="J122" s="3" t="s">
        <v>17</v>
      </c>
    </row>
    <row r="123" spans="1:10" x14ac:dyDescent="0.3">
      <c r="A123" s="3" t="s">
        <v>351</v>
      </c>
      <c r="B123" s="3" t="s">
        <v>1215</v>
      </c>
      <c r="C123" s="3" t="s">
        <v>21</v>
      </c>
      <c r="D123" s="3">
        <v>46</v>
      </c>
      <c r="E123" s="3" t="s">
        <v>22</v>
      </c>
      <c r="F123" s="4">
        <v>377318</v>
      </c>
      <c r="G123" s="4">
        <v>163328</v>
      </c>
      <c r="H123" s="4">
        <v>42694</v>
      </c>
      <c r="I123" s="3" t="s">
        <v>23</v>
      </c>
      <c r="J123" s="3" t="s">
        <v>24</v>
      </c>
    </row>
    <row r="124" spans="1:10" x14ac:dyDescent="0.3">
      <c r="A124" s="3" t="s">
        <v>353</v>
      </c>
      <c r="B124" s="3" t="s">
        <v>1216</v>
      </c>
      <c r="C124" s="3" t="s">
        <v>14</v>
      </c>
      <c r="D124" s="3">
        <v>43</v>
      </c>
      <c r="E124" s="3" t="s">
        <v>59</v>
      </c>
      <c r="F124" s="4">
        <v>54798</v>
      </c>
      <c r="G124" s="4">
        <v>249335</v>
      </c>
      <c r="H124" s="4">
        <v>135806</v>
      </c>
      <c r="I124" s="3" t="s">
        <v>23</v>
      </c>
      <c r="J124" s="3" t="s">
        <v>17</v>
      </c>
    </row>
    <row r="125" spans="1:10" x14ac:dyDescent="0.3">
      <c r="A125" s="3" t="s">
        <v>355</v>
      </c>
      <c r="B125" s="3" t="s">
        <v>1217</v>
      </c>
      <c r="C125" s="3" t="s">
        <v>44</v>
      </c>
      <c r="D125" s="3">
        <v>40</v>
      </c>
      <c r="E125" s="3" t="s">
        <v>59</v>
      </c>
      <c r="F125" s="4">
        <v>345857</v>
      </c>
      <c r="G125" s="4">
        <v>211857</v>
      </c>
      <c r="H125" s="4">
        <v>111513</v>
      </c>
      <c r="I125" s="3" t="s">
        <v>23</v>
      </c>
      <c r="J125" s="3" t="s">
        <v>17</v>
      </c>
    </row>
    <row r="126" spans="1:10" x14ac:dyDescent="0.3">
      <c r="A126" s="3" t="s">
        <v>358</v>
      </c>
      <c r="B126" s="3" t="s">
        <v>1218</v>
      </c>
      <c r="C126" s="3" t="s">
        <v>14</v>
      </c>
      <c r="D126" s="3">
        <v>44</v>
      </c>
      <c r="E126" s="3" t="s">
        <v>22</v>
      </c>
      <c r="F126" s="4">
        <v>276981</v>
      </c>
      <c r="G126" s="4">
        <v>182803</v>
      </c>
      <c r="H126" s="4">
        <v>37765</v>
      </c>
      <c r="I126" s="3" t="s">
        <v>16</v>
      </c>
      <c r="J126" s="3" t="s">
        <v>24</v>
      </c>
    </row>
    <row r="127" spans="1:10" x14ac:dyDescent="0.3">
      <c r="A127" s="3" t="s">
        <v>360</v>
      </c>
      <c r="B127" s="3" t="s">
        <v>1219</v>
      </c>
      <c r="C127" s="3" t="s">
        <v>44</v>
      </c>
      <c r="D127" s="3">
        <v>45</v>
      </c>
      <c r="E127" s="3" t="s">
        <v>22</v>
      </c>
      <c r="F127" s="4">
        <v>408824</v>
      </c>
      <c r="G127" s="4">
        <v>142277</v>
      </c>
      <c r="H127" s="4">
        <v>22112</v>
      </c>
      <c r="I127" s="3" t="s">
        <v>23</v>
      </c>
      <c r="J127" s="3" t="s">
        <v>17</v>
      </c>
    </row>
    <row r="128" spans="1:10" x14ac:dyDescent="0.3">
      <c r="A128" s="3" t="s">
        <v>362</v>
      </c>
      <c r="B128" s="3" t="s">
        <v>1220</v>
      </c>
      <c r="C128" s="3" t="s">
        <v>48</v>
      </c>
      <c r="D128" s="3">
        <v>47</v>
      </c>
      <c r="E128" s="3" t="s">
        <v>22</v>
      </c>
      <c r="F128" s="4">
        <v>210402</v>
      </c>
      <c r="G128" s="4">
        <v>94577</v>
      </c>
      <c r="H128" s="4">
        <v>60506</v>
      </c>
      <c r="I128" s="3" t="s">
        <v>23</v>
      </c>
      <c r="J128" s="3" t="s">
        <v>24</v>
      </c>
    </row>
    <row r="129" spans="1:10" x14ac:dyDescent="0.3">
      <c r="A129" s="3" t="s">
        <v>364</v>
      </c>
      <c r="B129" s="3" t="s">
        <v>1221</v>
      </c>
      <c r="C129" s="3" t="s">
        <v>44</v>
      </c>
      <c r="D129" s="3">
        <v>41</v>
      </c>
      <c r="E129" s="3" t="s">
        <v>59</v>
      </c>
      <c r="F129" s="4">
        <v>119547</v>
      </c>
      <c r="G129" s="4">
        <v>96291</v>
      </c>
      <c r="H129" s="4">
        <v>101237</v>
      </c>
      <c r="I129" s="3" t="s">
        <v>16</v>
      </c>
      <c r="J129" s="3" t="s">
        <v>17</v>
      </c>
    </row>
    <row r="130" spans="1:10" x14ac:dyDescent="0.3">
      <c r="A130" s="3" t="s">
        <v>366</v>
      </c>
      <c r="B130" s="3" t="s">
        <v>1222</v>
      </c>
      <c r="C130" s="3" t="s">
        <v>14</v>
      </c>
      <c r="D130" s="3">
        <v>26</v>
      </c>
      <c r="E130" s="3" t="s">
        <v>22</v>
      </c>
      <c r="F130" s="4">
        <v>328510</v>
      </c>
      <c r="G130" s="4">
        <v>112717</v>
      </c>
      <c r="H130" s="4">
        <v>147135</v>
      </c>
      <c r="I130" s="3" t="s">
        <v>33</v>
      </c>
      <c r="J130" s="3" t="s">
        <v>24</v>
      </c>
    </row>
    <row r="131" spans="1:10" x14ac:dyDescent="0.3">
      <c r="A131" s="3" t="s">
        <v>368</v>
      </c>
      <c r="B131" s="3" t="s">
        <v>1223</v>
      </c>
      <c r="C131" s="3" t="s">
        <v>14</v>
      </c>
      <c r="D131" s="3">
        <v>28</v>
      </c>
      <c r="E131" s="3" t="s">
        <v>22</v>
      </c>
      <c r="F131" s="4">
        <v>478900</v>
      </c>
      <c r="G131" s="4">
        <v>35361</v>
      </c>
      <c r="H131" s="4">
        <v>83845</v>
      </c>
      <c r="I131" s="3" t="s">
        <v>33</v>
      </c>
      <c r="J131" s="3" t="s">
        <v>17</v>
      </c>
    </row>
    <row r="132" spans="1:10" x14ac:dyDescent="0.3">
      <c r="A132" s="3" t="s">
        <v>371</v>
      </c>
      <c r="B132" s="3" t="s">
        <v>1224</v>
      </c>
      <c r="C132" s="3" t="s">
        <v>44</v>
      </c>
      <c r="D132" s="3">
        <v>47</v>
      </c>
      <c r="E132" s="3" t="s">
        <v>59</v>
      </c>
      <c r="F132" s="4">
        <v>406562</v>
      </c>
      <c r="G132" s="4">
        <v>59465</v>
      </c>
      <c r="H132" s="4">
        <v>64511</v>
      </c>
      <c r="I132" s="3" t="s">
        <v>33</v>
      </c>
      <c r="J132" s="3" t="s">
        <v>17</v>
      </c>
    </row>
    <row r="133" spans="1:10" x14ac:dyDescent="0.3">
      <c r="A133" s="3" t="s">
        <v>374</v>
      </c>
      <c r="B133" s="3" t="s">
        <v>1225</v>
      </c>
      <c r="C133" s="3" t="s">
        <v>21</v>
      </c>
      <c r="D133" s="3">
        <v>47</v>
      </c>
      <c r="E133" s="3" t="s">
        <v>22</v>
      </c>
      <c r="F133" s="4">
        <v>301525</v>
      </c>
      <c r="G133" s="4">
        <v>127024</v>
      </c>
      <c r="H133" s="4">
        <v>142319</v>
      </c>
      <c r="I133" s="3" t="s">
        <v>23</v>
      </c>
      <c r="J133" s="3" t="s">
        <v>17</v>
      </c>
    </row>
    <row r="134" spans="1:10" x14ac:dyDescent="0.3">
      <c r="A134" s="3" t="s">
        <v>377</v>
      </c>
      <c r="B134" s="3" t="s">
        <v>1226</v>
      </c>
      <c r="C134" s="3" t="s">
        <v>44</v>
      </c>
      <c r="D134" s="3">
        <v>46</v>
      </c>
      <c r="E134" s="3" t="s">
        <v>59</v>
      </c>
      <c r="F134" s="4">
        <v>455252</v>
      </c>
      <c r="G134" s="4">
        <v>183492</v>
      </c>
      <c r="H134" s="4">
        <v>138614</v>
      </c>
      <c r="I134" s="3" t="s">
        <v>33</v>
      </c>
      <c r="J134" s="3" t="s">
        <v>17</v>
      </c>
    </row>
    <row r="135" spans="1:10" x14ac:dyDescent="0.3">
      <c r="A135" s="3" t="s">
        <v>379</v>
      </c>
      <c r="B135" s="3" t="s">
        <v>1227</v>
      </c>
      <c r="C135" s="3" t="s">
        <v>58</v>
      </c>
      <c r="D135" s="3">
        <v>49</v>
      </c>
      <c r="E135" s="3" t="s">
        <v>1590</v>
      </c>
      <c r="F135" s="4">
        <v>26460</v>
      </c>
      <c r="G135" s="4">
        <v>74486</v>
      </c>
      <c r="H135" s="4">
        <v>132541</v>
      </c>
      <c r="I135" s="3" t="s">
        <v>23</v>
      </c>
      <c r="J135" s="3" t="s">
        <v>24</v>
      </c>
    </row>
    <row r="136" spans="1:10" x14ac:dyDescent="0.3">
      <c r="A136" s="3" t="s">
        <v>382</v>
      </c>
      <c r="B136" s="3" t="s">
        <v>1228</v>
      </c>
      <c r="C136" s="3" t="s">
        <v>58</v>
      </c>
      <c r="D136" s="3">
        <v>35</v>
      </c>
      <c r="E136" s="3" t="s">
        <v>59</v>
      </c>
      <c r="F136" s="4">
        <v>12234</v>
      </c>
      <c r="G136" s="4">
        <v>72171</v>
      </c>
      <c r="H136" s="4">
        <v>98331</v>
      </c>
      <c r="I136" s="3" t="s">
        <v>23</v>
      </c>
      <c r="J136" s="3" t="s">
        <v>24</v>
      </c>
    </row>
    <row r="137" spans="1:10" x14ac:dyDescent="0.3">
      <c r="A137" s="3" t="s">
        <v>384</v>
      </c>
      <c r="B137" s="3" t="s">
        <v>1229</v>
      </c>
      <c r="C137" s="3" t="s">
        <v>14</v>
      </c>
      <c r="D137" s="3">
        <v>54</v>
      </c>
      <c r="E137" s="3" t="s">
        <v>59</v>
      </c>
      <c r="F137" s="4">
        <v>211597</v>
      </c>
      <c r="G137" s="4">
        <v>8683</v>
      </c>
      <c r="H137" s="4">
        <v>110922</v>
      </c>
      <c r="I137" s="3" t="s">
        <v>23</v>
      </c>
      <c r="J137" s="3" t="s">
        <v>24</v>
      </c>
    </row>
    <row r="138" spans="1:10" x14ac:dyDescent="0.3">
      <c r="A138" s="3" t="s">
        <v>385</v>
      </c>
      <c r="B138" s="3" t="s">
        <v>1230</v>
      </c>
      <c r="C138" s="3" t="s">
        <v>21</v>
      </c>
      <c r="D138" s="3">
        <v>34</v>
      </c>
      <c r="E138" s="3" t="s">
        <v>59</v>
      </c>
      <c r="F138" s="4">
        <v>84415</v>
      </c>
      <c r="G138" s="4">
        <v>157265.28571428571</v>
      </c>
      <c r="H138" s="4">
        <v>22476</v>
      </c>
      <c r="I138" s="3" t="s">
        <v>33</v>
      </c>
      <c r="J138" s="3" t="s">
        <v>24</v>
      </c>
    </row>
    <row r="139" spans="1:10" x14ac:dyDescent="0.3">
      <c r="A139" s="3" t="s">
        <v>387</v>
      </c>
      <c r="B139" s="3" t="s">
        <v>1231</v>
      </c>
      <c r="C139" s="3" t="s">
        <v>58</v>
      </c>
      <c r="D139" s="3">
        <v>21</v>
      </c>
      <c r="E139" s="3" t="s">
        <v>22</v>
      </c>
      <c r="F139" s="4">
        <v>21816</v>
      </c>
      <c r="G139" s="4">
        <v>113155</v>
      </c>
      <c r="H139" s="4">
        <v>54938</v>
      </c>
      <c r="I139" s="3" t="s">
        <v>16</v>
      </c>
      <c r="J139" s="3" t="s">
        <v>24</v>
      </c>
    </row>
    <row r="140" spans="1:10" x14ac:dyDescent="0.3">
      <c r="A140" s="3" t="s">
        <v>389</v>
      </c>
      <c r="B140" s="3" t="s">
        <v>1232</v>
      </c>
      <c r="C140" s="3" t="s">
        <v>44</v>
      </c>
      <c r="D140" s="3">
        <v>31</v>
      </c>
      <c r="E140" s="3" t="s">
        <v>59</v>
      </c>
      <c r="F140" s="4">
        <v>318474</v>
      </c>
      <c r="G140" s="4">
        <v>242458</v>
      </c>
      <c r="H140" s="4">
        <v>87577</v>
      </c>
      <c r="I140" s="3" t="s">
        <v>23</v>
      </c>
      <c r="J140" s="3" t="s">
        <v>17</v>
      </c>
    </row>
    <row r="141" spans="1:10" x14ac:dyDescent="0.3">
      <c r="A141" s="3" t="s">
        <v>391</v>
      </c>
      <c r="B141" s="3" t="s">
        <v>1233</v>
      </c>
      <c r="C141" s="3" t="s">
        <v>44</v>
      </c>
      <c r="D141" s="3">
        <v>38</v>
      </c>
      <c r="E141" s="3" t="s">
        <v>1590</v>
      </c>
      <c r="F141" s="4">
        <v>479125</v>
      </c>
      <c r="G141" s="4">
        <v>84817</v>
      </c>
      <c r="H141" s="4">
        <v>138177</v>
      </c>
      <c r="I141" s="3" t="s">
        <v>23</v>
      </c>
      <c r="J141" s="3" t="s">
        <v>17</v>
      </c>
    </row>
    <row r="142" spans="1:10" x14ac:dyDescent="0.3">
      <c r="A142" s="3" t="s">
        <v>394</v>
      </c>
      <c r="B142" s="3" t="s">
        <v>1234</v>
      </c>
      <c r="C142" s="3" t="s">
        <v>58</v>
      </c>
      <c r="D142" s="3">
        <v>48</v>
      </c>
      <c r="E142" s="3" t="s">
        <v>1590</v>
      </c>
      <c r="F142" s="4">
        <v>153691</v>
      </c>
      <c r="G142" s="4">
        <v>104898</v>
      </c>
      <c r="H142" s="4">
        <v>102853</v>
      </c>
      <c r="I142" s="3" t="s">
        <v>23</v>
      </c>
      <c r="J142" s="3" t="s">
        <v>17</v>
      </c>
    </row>
    <row r="143" spans="1:10" x14ac:dyDescent="0.3">
      <c r="A143" s="3" t="s">
        <v>397</v>
      </c>
      <c r="B143" s="3" t="s">
        <v>1235</v>
      </c>
      <c r="C143" s="3" t="s">
        <v>44</v>
      </c>
      <c r="D143" s="3">
        <v>58</v>
      </c>
      <c r="E143" s="3" t="s">
        <v>1590</v>
      </c>
      <c r="F143" s="4">
        <v>252076.51219512196</v>
      </c>
      <c r="G143" s="4">
        <v>192321</v>
      </c>
      <c r="H143" s="4">
        <v>97508</v>
      </c>
      <c r="I143" s="3" t="s">
        <v>23</v>
      </c>
      <c r="J143" s="3" t="s">
        <v>24</v>
      </c>
    </row>
    <row r="144" spans="1:10" x14ac:dyDescent="0.3">
      <c r="A144" s="3" t="s">
        <v>400</v>
      </c>
      <c r="B144" s="3" t="s">
        <v>1236</v>
      </c>
      <c r="C144" s="3" t="s">
        <v>58</v>
      </c>
      <c r="D144" s="3">
        <v>57</v>
      </c>
      <c r="E144" s="3" t="s">
        <v>22</v>
      </c>
      <c r="F144" s="4">
        <v>404248</v>
      </c>
      <c r="G144" s="4">
        <v>231223</v>
      </c>
      <c r="H144" s="4">
        <v>140470</v>
      </c>
      <c r="I144" s="3" t="s">
        <v>23</v>
      </c>
      <c r="J144" s="3" t="s">
        <v>17</v>
      </c>
    </row>
    <row r="145" spans="1:10" x14ac:dyDescent="0.3">
      <c r="A145" s="3" t="s">
        <v>403</v>
      </c>
      <c r="B145" s="3" t="s">
        <v>1237</v>
      </c>
      <c r="C145" s="3" t="s">
        <v>21</v>
      </c>
      <c r="D145" s="3">
        <v>44</v>
      </c>
      <c r="E145" s="3" t="s">
        <v>22</v>
      </c>
      <c r="F145" s="4">
        <v>423641</v>
      </c>
      <c r="G145" s="4">
        <v>184884</v>
      </c>
      <c r="H145" s="4">
        <v>139128</v>
      </c>
      <c r="I145" s="3" t="s">
        <v>23</v>
      </c>
      <c r="J145" s="3" t="s">
        <v>24</v>
      </c>
    </row>
    <row r="146" spans="1:10" x14ac:dyDescent="0.3">
      <c r="A146" s="3" t="s">
        <v>406</v>
      </c>
      <c r="B146" s="3" t="s">
        <v>1238</v>
      </c>
      <c r="C146" s="3" t="s">
        <v>48</v>
      </c>
      <c r="D146" s="3">
        <v>40</v>
      </c>
      <c r="E146" s="3" t="s">
        <v>22</v>
      </c>
      <c r="F146" s="4">
        <v>136662</v>
      </c>
      <c r="G146" s="4">
        <v>133410</v>
      </c>
      <c r="H146" s="4">
        <v>129107</v>
      </c>
      <c r="I146" s="3" t="s">
        <v>23</v>
      </c>
      <c r="J146" s="3" t="s">
        <v>24</v>
      </c>
    </row>
    <row r="147" spans="1:10" x14ac:dyDescent="0.3">
      <c r="A147" s="3" t="s">
        <v>407</v>
      </c>
      <c r="B147" s="3" t="s">
        <v>1239</v>
      </c>
      <c r="C147" s="3" t="s">
        <v>58</v>
      </c>
      <c r="D147" s="3">
        <v>29</v>
      </c>
      <c r="E147" s="3" t="s">
        <v>22</v>
      </c>
      <c r="F147" s="4">
        <v>190978</v>
      </c>
      <c r="G147" s="4">
        <v>232713</v>
      </c>
      <c r="H147" s="4">
        <v>133554</v>
      </c>
      <c r="I147" s="3" t="s">
        <v>23</v>
      </c>
      <c r="J147" s="3" t="s">
        <v>24</v>
      </c>
    </row>
    <row r="148" spans="1:10" x14ac:dyDescent="0.3">
      <c r="A148" s="3" t="s">
        <v>409</v>
      </c>
      <c r="B148" s="3" t="s">
        <v>1240</v>
      </c>
      <c r="C148" s="3" t="s">
        <v>44</v>
      </c>
      <c r="D148" s="3">
        <v>56</v>
      </c>
      <c r="E148" s="3" t="s">
        <v>22</v>
      </c>
      <c r="F148" s="4">
        <v>3195</v>
      </c>
      <c r="G148" s="4">
        <v>296213</v>
      </c>
      <c r="H148" s="4">
        <v>58646</v>
      </c>
      <c r="I148" s="3" t="s">
        <v>16</v>
      </c>
      <c r="J148" s="3" t="s">
        <v>24</v>
      </c>
    </row>
    <row r="149" spans="1:10" x14ac:dyDescent="0.3">
      <c r="A149" s="3" t="s">
        <v>411</v>
      </c>
      <c r="B149" s="3" t="s">
        <v>1241</v>
      </c>
      <c r="C149" s="3" t="s">
        <v>21</v>
      </c>
      <c r="D149" s="3">
        <v>26</v>
      </c>
      <c r="E149" s="3" t="s">
        <v>22</v>
      </c>
      <c r="F149" s="4">
        <v>320584</v>
      </c>
      <c r="G149" s="4">
        <v>211363</v>
      </c>
      <c r="H149" s="4">
        <v>73878</v>
      </c>
      <c r="I149" s="3" t="s">
        <v>16</v>
      </c>
      <c r="J149" s="3" t="s">
        <v>24</v>
      </c>
    </row>
    <row r="150" spans="1:10" x14ac:dyDescent="0.3">
      <c r="A150" s="3" t="s">
        <v>414</v>
      </c>
      <c r="B150" s="3" t="s">
        <v>1242</v>
      </c>
      <c r="C150" s="3" t="s">
        <v>44</v>
      </c>
      <c r="D150" s="3">
        <v>33</v>
      </c>
      <c r="E150" s="3" t="s">
        <v>22</v>
      </c>
      <c r="F150" s="4">
        <v>194588</v>
      </c>
      <c r="G150" s="4">
        <v>282284</v>
      </c>
      <c r="H150" s="4">
        <v>104731</v>
      </c>
      <c r="I150" s="3" t="s">
        <v>16</v>
      </c>
      <c r="J150" s="3" t="s">
        <v>24</v>
      </c>
    </row>
    <row r="151" spans="1:10" x14ac:dyDescent="0.3">
      <c r="A151" s="3" t="s">
        <v>416</v>
      </c>
      <c r="B151" s="3" t="s">
        <v>1243</v>
      </c>
      <c r="C151" s="3" t="s">
        <v>58</v>
      </c>
      <c r="D151" s="3">
        <v>44</v>
      </c>
      <c r="E151" s="3" t="s">
        <v>22</v>
      </c>
      <c r="F151" s="4">
        <v>85080</v>
      </c>
      <c r="G151" s="4">
        <v>89756</v>
      </c>
      <c r="H151" s="4">
        <v>40451</v>
      </c>
      <c r="I151" s="3" t="s">
        <v>23</v>
      </c>
      <c r="J151" s="3" t="s">
        <v>24</v>
      </c>
    </row>
    <row r="152" spans="1:10" x14ac:dyDescent="0.3">
      <c r="A152" s="3" t="s">
        <v>418</v>
      </c>
      <c r="B152" s="3" t="s">
        <v>1244</v>
      </c>
      <c r="C152" s="3" t="s">
        <v>14</v>
      </c>
      <c r="D152" s="3">
        <v>48</v>
      </c>
      <c r="E152" s="3" t="s">
        <v>59</v>
      </c>
      <c r="F152" s="4">
        <v>166669</v>
      </c>
      <c r="G152" s="4">
        <v>278302</v>
      </c>
      <c r="H152" s="4">
        <v>39409</v>
      </c>
      <c r="I152" s="3" t="s">
        <v>16</v>
      </c>
      <c r="J152" s="3" t="s">
        <v>17</v>
      </c>
    </row>
    <row r="153" spans="1:10" x14ac:dyDescent="0.3">
      <c r="A153" s="3" t="s">
        <v>421</v>
      </c>
      <c r="B153" s="3" t="s">
        <v>1245</v>
      </c>
      <c r="C153" s="3" t="s">
        <v>44</v>
      </c>
      <c r="D153" s="3">
        <v>39</v>
      </c>
      <c r="E153" s="3" t="s">
        <v>1590</v>
      </c>
      <c r="F153" s="4">
        <v>252076.51219512196</v>
      </c>
      <c r="G153" s="4">
        <v>45731</v>
      </c>
      <c r="H153" s="4">
        <v>146843</v>
      </c>
      <c r="I153" s="3" t="s">
        <v>33</v>
      </c>
      <c r="J153" s="3" t="s">
        <v>17</v>
      </c>
    </row>
    <row r="154" spans="1:10" x14ac:dyDescent="0.3">
      <c r="A154" s="3" t="s">
        <v>424</v>
      </c>
      <c r="B154" s="3" t="s">
        <v>1246</v>
      </c>
      <c r="C154" s="3" t="s">
        <v>21</v>
      </c>
      <c r="D154" s="3">
        <v>30</v>
      </c>
      <c r="E154" s="3" t="s">
        <v>1590</v>
      </c>
      <c r="F154" s="4">
        <v>252076.51219512196</v>
      </c>
      <c r="G154" s="4">
        <v>3666</v>
      </c>
      <c r="H154" s="4">
        <v>75322</v>
      </c>
      <c r="I154" s="3" t="s">
        <v>16</v>
      </c>
      <c r="J154" s="3" t="s">
        <v>17</v>
      </c>
    </row>
    <row r="155" spans="1:10" x14ac:dyDescent="0.3">
      <c r="A155" s="3" t="s">
        <v>427</v>
      </c>
      <c r="B155" s="3" t="s">
        <v>1247</v>
      </c>
      <c r="C155" s="3" t="s">
        <v>58</v>
      </c>
      <c r="D155" s="3">
        <v>23</v>
      </c>
      <c r="E155" s="3" t="s">
        <v>59</v>
      </c>
      <c r="F155" s="4">
        <v>465364</v>
      </c>
      <c r="G155" s="4">
        <v>128434.33333333333</v>
      </c>
      <c r="H155" s="4">
        <v>69069</v>
      </c>
      <c r="I155" s="3" t="s">
        <v>16</v>
      </c>
      <c r="J155" s="3" t="s">
        <v>17</v>
      </c>
    </row>
    <row r="156" spans="1:10" x14ac:dyDescent="0.3">
      <c r="A156" s="3" t="s">
        <v>429</v>
      </c>
      <c r="B156" s="3" t="s">
        <v>1248</v>
      </c>
      <c r="C156" s="3" t="s">
        <v>44</v>
      </c>
      <c r="D156" s="3">
        <v>59</v>
      </c>
      <c r="E156" s="3" t="s">
        <v>22</v>
      </c>
      <c r="F156" s="4">
        <v>466360</v>
      </c>
      <c r="G156" s="4">
        <v>287966</v>
      </c>
      <c r="H156" s="4">
        <v>78186</v>
      </c>
      <c r="I156" s="3" t="s">
        <v>16</v>
      </c>
      <c r="J156" s="3" t="s">
        <v>24</v>
      </c>
    </row>
    <row r="157" spans="1:10" x14ac:dyDescent="0.3">
      <c r="A157" s="3" t="s">
        <v>432</v>
      </c>
      <c r="B157" s="3" t="s">
        <v>1249</v>
      </c>
      <c r="C157" s="3" t="s">
        <v>14</v>
      </c>
      <c r="D157" s="3">
        <v>32</v>
      </c>
      <c r="E157" s="3" t="s">
        <v>59</v>
      </c>
      <c r="F157" s="4">
        <v>158712</v>
      </c>
      <c r="G157" s="4">
        <v>293271</v>
      </c>
      <c r="H157" s="4">
        <v>64545</v>
      </c>
      <c r="I157" s="3" t="s">
        <v>23</v>
      </c>
      <c r="J157" s="3" t="s">
        <v>24</v>
      </c>
    </row>
    <row r="158" spans="1:10" x14ac:dyDescent="0.3">
      <c r="A158" s="3" t="s">
        <v>434</v>
      </c>
      <c r="B158" s="3" t="s">
        <v>1250</v>
      </c>
      <c r="C158" s="3" t="s">
        <v>14</v>
      </c>
      <c r="D158" s="3">
        <v>23</v>
      </c>
      <c r="E158" s="3" t="s">
        <v>22</v>
      </c>
      <c r="F158" s="4">
        <v>479288</v>
      </c>
      <c r="G158" s="4">
        <v>196333</v>
      </c>
      <c r="H158" s="4">
        <v>54686</v>
      </c>
      <c r="I158" s="3" t="s">
        <v>33</v>
      </c>
      <c r="J158" s="3" t="s">
        <v>17</v>
      </c>
    </row>
    <row r="159" spans="1:10" x14ac:dyDescent="0.3">
      <c r="A159" s="3" t="s">
        <v>437</v>
      </c>
      <c r="B159" s="3" t="s">
        <v>1251</v>
      </c>
      <c r="C159" s="3" t="s">
        <v>48</v>
      </c>
      <c r="D159" s="3">
        <v>26</v>
      </c>
      <c r="E159" s="3" t="s">
        <v>1590</v>
      </c>
      <c r="F159" s="4">
        <v>410416</v>
      </c>
      <c r="G159" s="4">
        <v>278605</v>
      </c>
      <c r="H159" s="4">
        <v>117063</v>
      </c>
      <c r="I159" s="3" t="s">
        <v>33</v>
      </c>
      <c r="J159" s="3" t="s">
        <v>24</v>
      </c>
    </row>
    <row r="160" spans="1:10" x14ac:dyDescent="0.3">
      <c r="A160" s="3" t="s">
        <v>440</v>
      </c>
      <c r="B160" s="3" t="s">
        <v>1252</v>
      </c>
      <c r="C160" s="3" t="s">
        <v>21</v>
      </c>
      <c r="D160" s="3">
        <v>25</v>
      </c>
      <c r="E160" s="3" t="s">
        <v>59</v>
      </c>
      <c r="F160" s="4">
        <v>155788</v>
      </c>
      <c r="G160" s="4">
        <v>249922</v>
      </c>
      <c r="H160" s="4">
        <v>130004</v>
      </c>
      <c r="I160" s="3" t="s">
        <v>23</v>
      </c>
      <c r="J160" s="3" t="s">
        <v>17</v>
      </c>
    </row>
    <row r="161" spans="1:10" x14ac:dyDescent="0.3">
      <c r="A161" s="3" t="s">
        <v>442</v>
      </c>
      <c r="B161" s="3" t="s">
        <v>1253</v>
      </c>
      <c r="C161" s="3" t="s">
        <v>44</v>
      </c>
      <c r="D161" s="3">
        <v>35</v>
      </c>
      <c r="E161" s="3" t="s">
        <v>59</v>
      </c>
      <c r="F161" s="4">
        <v>370236</v>
      </c>
      <c r="G161" s="4">
        <v>252371</v>
      </c>
      <c r="H161" s="4">
        <v>42405</v>
      </c>
      <c r="I161" s="3" t="s">
        <v>33</v>
      </c>
      <c r="J161" s="3" t="s">
        <v>17</v>
      </c>
    </row>
    <row r="162" spans="1:10" x14ac:dyDescent="0.3">
      <c r="A162" s="3" t="s">
        <v>443</v>
      </c>
      <c r="B162" s="3" t="s">
        <v>1254</v>
      </c>
      <c r="C162" s="3" t="s">
        <v>58</v>
      </c>
      <c r="D162" s="3">
        <v>59</v>
      </c>
      <c r="E162" s="3" t="s">
        <v>22</v>
      </c>
      <c r="F162" s="4">
        <v>252076.51219512196</v>
      </c>
      <c r="G162" s="4">
        <v>198348</v>
      </c>
      <c r="H162" s="4">
        <v>63502</v>
      </c>
      <c r="I162" s="3" t="s">
        <v>23</v>
      </c>
      <c r="J162" s="3" t="s">
        <v>24</v>
      </c>
    </row>
    <row r="163" spans="1:10" x14ac:dyDescent="0.3">
      <c r="A163" s="3" t="s">
        <v>445</v>
      </c>
      <c r="B163" s="3" t="s">
        <v>1255</v>
      </c>
      <c r="C163" s="3" t="s">
        <v>58</v>
      </c>
      <c r="D163" s="3">
        <v>47</v>
      </c>
      <c r="E163" s="3" t="s">
        <v>22</v>
      </c>
      <c r="F163" s="4">
        <v>196807</v>
      </c>
      <c r="G163" s="4">
        <v>100862</v>
      </c>
      <c r="H163" s="4">
        <v>96119</v>
      </c>
      <c r="I163" s="3" t="s">
        <v>23</v>
      </c>
      <c r="J163" s="3" t="s">
        <v>17</v>
      </c>
    </row>
    <row r="164" spans="1:10" x14ac:dyDescent="0.3">
      <c r="A164" s="3" t="s">
        <v>448</v>
      </c>
      <c r="B164" s="3" t="s">
        <v>1256</v>
      </c>
      <c r="C164" s="3" t="s">
        <v>21</v>
      </c>
      <c r="D164" s="3">
        <v>27</v>
      </c>
      <c r="E164" s="3" t="s">
        <v>22</v>
      </c>
      <c r="F164" s="4">
        <v>249502</v>
      </c>
      <c r="G164" s="4">
        <v>239466</v>
      </c>
      <c r="H164" s="4">
        <v>50803</v>
      </c>
      <c r="I164" s="3" t="s">
        <v>33</v>
      </c>
      <c r="J164" s="3" t="s">
        <v>17</v>
      </c>
    </row>
    <row r="165" spans="1:10" x14ac:dyDescent="0.3">
      <c r="A165" s="3" t="s">
        <v>451</v>
      </c>
      <c r="B165" s="3" t="s">
        <v>1257</v>
      </c>
      <c r="C165" s="3" t="s">
        <v>14</v>
      </c>
      <c r="D165" s="3">
        <v>49</v>
      </c>
      <c r="E165" s="3" t="s">
        <v>22</v>
      </c>
      <c r="F165" s="4">
        <v>1348</v>
      </c>
      <c r="G165" s="4">
        <v>278297</v>
      </c>
      <c r="H165" s="4">
        <v>57909</v>
      </c>
      <c r="I165" s="3" t="s">
        <v>16</v>
      </c>
      <c r="J165" s="3" t="s">
        <v>24</v>
      </c>
    </row>
    <row r="166" spans="1:10" x14ac:dyDescent="0.3">
      <c r="A166" s="3" t="s">
        <v>454</v>
      </c>
      <c r="B166" s="3" t="s">
        <v>1258</v>
      </c>
      <c r="C166" s="3" t="s">
        <v>14</v>
      </c>
      <c r="D166" s="3">
        <v>35</v>
      </c>
      <c r="E166" s="3" t="s">
        <v>22</v>
      </c>
      <c r="F166" s="4">
        <v>252076.51219512196</v>
      </c>
      <c r="G166" s="4">
        <v>276585</v>
      </c>
      <c r="H166" s="4">
        <v>129538</v>
      </c>
      <c r="I166" s="3" t="s">
        <v>33</v>
      </c>
      <c r="J166" s="3" t="s">
        <v>24</v>
      </c>
    </row>
    <row r="167" spans="1:10" x14ac:dyDescent="0.3">
      <c r="A167" s="3" t="s">
        <v>456</v>
      </c>
      <c r="B167" s="3" t="s">
        <v>1259</v>
      </c>
      <c r="C167" s="3" t="s">
        <v>14</v>
      </c>
      <c r="D167" s="3">
        <v>48</v>
      </c>
      <c r="E167" s="3" t="s">
        <v>59</v>
      </c>
      <c r="F167" s="4">
        <v>385522</v>
      </c>
      <c r="G167" s="4">
        <v>201718</v>
      </c>
      <c r="H167" s="4">
        <v>65198</v>
      </c>
      <c r="I167" s="3" t="s">
        <v>23</v>
      </c>
      <c r="J167" s="3" t="s">
        <v>17</v>
      </c>
    </row>
    <row r="168" spans="1:10" x14ac:dyDescent="0.3">
      <c r="A168" s="3" t="s">
        <v>459</v>
      </c>
      <c r="B168" s="3" t="s">
        <v>1260</v>
      </c>
      <c r="C168" s="3" t="s">
        <v>44</v>
      </c>
      <c r="D168" s="3">
        <v>46</v>
      </c>
      <c r="E168" s="3" t="s">
        <v>1590</v>
      </c>
      <c r="F168" s="4">
        <v>47320</v>
      </c>
      <c r="G168" s="4">
        <v>9</v>
      </c>
      <c r="H168" s="4">
        <v>74530</v>
      </c>
      <c r="I168" s="3" t="s">
        <v>16</v>
      </c>
      <c r="J168" s="3" t="s">
        <v>17</v>
      </c>
    </row>
    <row r="169" spans="1:10" x14ac:dyDescent="0.3">
      <c r="A169" s="3" t="s">
        <v>462</v>
      </c>
      <c r="B169" s="3" t="s">
        <v>1261</v>
      </c>
      <c r="C169" s="3" t="s">
        <v>14</v>
      </c>
      <c r="D169" s="3">
        <v>52</v>
      </c>
      <c r="E169" s="3" t="s">
        <v>22</v>
      </c>
      <c r="F169" s="4">
        <v>399377</v>
      </c>
      <c r="G169" s="4">
        <v>159636</v>
      </c>
      <c r="H169" s="4">
        <v>89547</v>
      </c>
      <c r="I169" s="3" t="s">
        <v>33</v>
      </c>
      <c r="J169" s="3" t="s">
        <v>24</v>
      </c>
    </row>
    <row r="170" spans="1:10" x14ac:dyDescent="0.3">
      <c r="A170" s="3" t="s">
        <v>464</v>
      </c>
      <c r="B170" s="3" t="s">
        <v>1262</v>
      </c>
      <c r="C170" s="3" t="s">
        <v>21</v>
      </c>
      <c r="D170" s="3">
        <v>54</v>
      </c>
      <c r="E170" s="3" t="s">
        <v>59</v>
      </c>
      <c r="F170" s="4">
        <v>73842</v>
      </c>
      <c r="G170" s="4">
        <v>99315</v>
      </c>
      <c r="H170" s="4">
        <v>20813</v>
      </c>
      <c r="I170" s="3" t="s">
        <v>23</v>
      </c>
      <c r="J170" s="3" t="s">
        <v>24</v>
      </c>
    </row>
    <row r="171" spans="1:10" x14ac:dyDescent="0.3">
      <c r="A171" s="3" t="s">
        <v>467</v>
      </c>
      <c r="B171" s="3" t="s">
        <v>1263</v>
      </c>
      <c r="C171" s="3" t="s">
        <v>48</v>
      </c>
      <c r="D171" s="3">
        <v>41</v>
      </c>
      <c r="E171" s="3" t="s">
        <v>22</v>
      </c>
      <c r="F171" s="4">
        <v>486104</v>
      </c>
      <c r="G171" s="4">
        <v>64489</v>
      </c>
      <c r="H171" s="4">
        <v>137970</v>
      </c>
      <c r="I171" s="3" t="s">
        <v>16</v>
      </c>
      <c r="J171" s="3" t="s">
        <v>17</v>
      </c>
    </row>
    <row r="172" spans="1:10" x14ac:dyDescent="0.3">
      <c r="A172" s="3" t="s">
        <v>468</v>
      </c>
      <c r="B172" s="3" t="s">
        <v>1264</v>
      </c>
      <c r="C172" s="3" t="s">
        <v>21</v>
      </c>
      <c r="D172" s="3">
        <v>39.868583162217661</v>
      </c>
      <c r="E172" s="3" t="s">
        <v>1590</v>
      </c>
      <c r="F172" s="4">
        <v>17815</v>
      </c>
      <c r="G172" s="4">
        <v>111897</v>
      </c>
      <c r="H172" s="4">
        <v>59085</v>
      </c>
      <c r="I172" s="3" t="s">
        <v>16</v>
      </c>
      <c r="J172" s="3" t="s">
        <v>17</v>
      </c>
    </row>
    <row r="173" spans="1:10" x14ac:dyDescent="0.3">
      <c r="A173" s="3" t="s">
        <v>470</v>
      </c>
      <c r="B173" s="3" t="s">
        <v>1265</v>
      </c>
      <c r="C173" s="3" t="s">
        <v>58</v>
      </c>
      <c r="D173" s="3">
        <v>40</v>
      </c>
      <c r="E173" s="3" t="s">
        <v>59</v>
      </c>
      <c r="F173" s="4">
        <v>266550</v>
      </c>
      <c r="G173" s="4">
        <v>290872</v>
      </c>
      <c r="H173" s="4">
        <v>42254</v>
      </c>
      <c r="I173" s="3" t="s">
        <v>16</v>
      </c>
      <c r="J173" s="3" t="s">
        <v>24</v>
      </c>
    </row>
    <row r="174" spans="1:10" x14ac:dyDescent="0.3">
      <c r="A174" s="3" t="s">
        <v>472</v>
      </c>
      <c r="B174" s="3" t="s">
        <v>1266</v>
      </c>
      <c r="C174" s="3" t="s">
        <v>14</v>
      </c>
      <c r="D174" s="3">
        <v>55</v>
      </c>
      <c r="E174" s="3" t="s">
        <v>59</v>
      </c>
      <c r="F174" s="4">
        <v>31173</v>
      </c>
      <c r="G174" s="4">
        <v>152109</v>
      </c>
      <c r="H174" s="4">
        <v>91439</v>
      </c>
      <c r="I174" s="3" t="s">
        <v>33</v>
      </c>
      <c r="J174" s="3" t="s">
        <v>24</v>
      </c>
    </row>
    <row r="175" spans="1:10" x14ac:dyDescent="0.3">
      <c r="A175" s="3" t="s">
        <v>475</v>
      </c>
      <c r="B175" s="3" t="s">
        <v>1267</v>
      </c>
      <c r="C175" s="3" t="s">
        <v>58</v>
      </c>
      <c r="D175" s="3">
        <v>36</v>
      </c>
      <c r="E175" s="3" t="s">
        <v>1590</v>
      </c>
      <c r="F175" s="4">
        <v>435832</v>
      </c>
      <c r="G175" s="4">
        <v>103275.625</v>
      </c>
      <c r="H175" s="4">
        <v>61510</v>
      </c>
      <c r="I175" s="3" t="s">
        <v>16</v>
      </c>
      <c r="J175" s="3" t="s">
        <v>17</v>
      </c>
    </row>
    <row r="176" spans="1:10" x14ac:dyDescent="0.3">
      <c r="A176" s="3" t="s">
        <v>476</v>
      </c>
      <c r="B176" s="3" t="s">
        <v>1268</v>
      </c>
      <c r="C176" s="3" t="s">
        <v>48</v>
      </c>
      <c r="D176" s="3">
        <v>50</v>
      </c>
      <c r="E176" s="3" t="s">
        <v>59</v>
      </c>
      <c r="F176" s="4">
        <v>227860</v>
      </c>
      <c r="G176" s="4">
        <v>71296</v>
      </c>
      <c r="H176" s="4">
        <v>40696</v>
      </c>
      <c r="I176" s="3" t="s">
        <v>23</v>
      </c>
      <c r="J176" s="3" t="s">
        <v>24</v>
      </c>
    </row>
    <row r="177" spans="1:10" x14ac:dyDescent="0.3">
      <c r="A177" s="3" t="s">
        <v>478</v>
      </c>
      <c r="B177" s="3" t="s">
        <v>1269</v>
      </c>
      <c r="C177" s="3" t="s">
        <v>14</v>
      </c>
      <c r="D177" s="3">
        <v>54</v>
      </c>
      <c r="E177" s="3" t="s">
        <v>22</v>
      </c>
      <c r="F177" s="4">
        <v>488221</v>
      </c>
      <c r="G177" s="4">
        <v>275631</v>
      </c>
      <c r="H177" s="4">
        <v>130107</v>
      </c>
      <c r="I177" s="3" t="s">
        <v>16</v>
      </c>
      <c r="J177" s="3" t="s">
        <v>24</v>
      </c>
    </row>
    <row r="178" spans="1:10" x14ac:dyDescent="0.3">
      <c r="A178" s="3" t="s">
        <v>480</v>
      </c>
      <c r="B178" s="3" t="s">
        <v>1270</v>
      </c>
      <c r="C178" s="3" t="s">
        <v>58</v>
      </c>
      <c r="D178" s="3">
        <v>35</v>
      </c>
      <c r="E178" s="3" t="s">
        <v>59</v>
      </c>
      <c r="F178" s="4">
        <v>200936</v>
      </c>
      <c r="G178" s="4">
        <v>56987</v>
      </c>
      <c r="H178" s="4">
        <v>55489</v>
      </c>
      <c r="I178" s="3" t="s">
        <v>33</v>
      </c>
      <c r="J178" s="3" t="s">
        <v>17</v>
      </c>
    </row>
    <row r="179" spans="1:10" x14ac:dyDescent="0.3">
      <c r="A179" s="3" t="s">
        <v>482</v>
      </c>
      <c r="B179" s="3" t="s">
        <v>1271</v>
      </c>
      <c r="C179" s="3" t="s">
        <v>14</v>
      </c>
      <c r="D179" s="3">
        <v>27</v>
      </c>
      <c r="E179" s="3" t="s">
        <v>22</v>
      </c>
      <c r="F179" s="4">
        <v>380462</v>
      </c>
      <c r="G179" s="4">
        <v>95783</v>
      </c>
      <c r="H179" s="4">
        <v>37390</v>
      </c>
      <c r="I179" s="3" t="s">
        <v>23</v>
      </c>
      <c r="J179" s="3" t="s">
        <v>17</v>
      </c>
    </row>
    <row r="180" spans="1:10" x14ac:dyDescent="0.3">
      <c r="A180" s="3" t="s">
        <v>484</v>
      </c>
      <c r="B180" s="3" t="s">
        <v>1272</v>
      </c>
      <c r="C180" s="3" t="s">
        <v>44</v>
      </c>
      <c r="D180" s="3">
        <v>30</v>
      </c>
      <c r="E180" s="3" t="s">
        <v>22</v>
      </c>
      <c r="F180" s="4">
        <v>46055</v>
      </c>
      <c r="G180" s="4">
        <v>185518.09090909091</v>
      </c>
      <c r="H180" s="4">
        <v>140682</v>
      </c>
      <c r="I180" s="3" t="s">
        <v>23</v>
      </c>
      <c r="J180" s="3" t="s">
        <v>17</v>
      </c>
    </row>
    <row r="181" spans="1:10" x14ac:dyDescent="0.3">
      <c r="A181" s="3" t="s">
        <v>487</v>
      </c>
      <c r="B181" s="3" t="s">
        <v>1273</v>
      </c>
      <c r="C181" s="3" t="s">
        <v>48</v>
      </c>
      <c r="D181" s="3">
        <v>29</v>
      </c>
      <c r="E181" s="3" t="s">
        <v>22</v>
      </c>
      <c r="F181" s="4">
        <v>238355</v>
      </c>
      <c r="G181" s="4">
        <v>260567</v>
      </c>
      <c r="H181" s="4">
        <v>80549</v>
      </c>
      <c r="I181" s="3" t="s">
        <v>33</v>
      </c>
      <c r="J181" s="3" t="s">
        <v>17</v>
      </c>
    </row>
    <row r="182" spans="1:10" x14ac:dyDescent="0.3">
      <c r="A182" s="3" t="s">
        <v>490</v>
      </c>
      <c r="B182" s="3" t="s">
        <v>1274</v>
      </c>
      <c r="C182" s="3" t="s">
        <v>14</v>
      </c>
      <c r="D182" s="3">
        <v>26</v>
      </c>
      <c r="E182" s="3" t="s">
        <v>22</v>
      </c>
      <c r="F182" s="4">
        <v>35223</v>
      </c>
      <c r="G182" s="4">
        <v>137145</v>
      </c>
      <c r="H182" s="4">
        <v>144461</v>
      </c>
      <c r="I182" s="3" t="s">
        <v>23</v>
      </c>
      <c r="J182" s="3" t="s">
        <v>24</v>
      </c>
    </row>
    <row r="183" spans="1:10" x14ac:dyDescent="0.3">
      <c r="A183" s="3" t="s">
        <v>492</v>
      </c>
      <c r="B183" s="3" t="s">
        <v>1275</v>
      </c>
      <c r="C183" s="3" t="s">
        <v>44</v>
      </c>
      <c r="D183" s="3">
        <v>54</v>
      </c>
      <c r="E183" s="3" t="s">
        <v>59</v>
      </c>
      <c r="F183" s="4">
        <v>3138</v>
      </c>
      <c r="G183" s="4">
        <v>197325</v>
      </c>
      <c r="H183" s="4">
        <v>65932</v>
      </c>
      <c r="I183" s="3" t="s">
        <v>16</v>
      </c>
      <c r="J183" s="3" t="s">
        <v>17</v>
      </c>
    </row>
    <row r="184" spans="1:10" x14ac:dyDescent="0.3">
      <c r="A184" s="3" t="s">
        <v>494</v>
      </c>
      <c r="B184" s="3" t="s">
        <v>1276</v>
      </c>
      <c r="C184" s="3" t="s">
        <v>48</v>
      </c>
      <c r="D184" s="3">
        <v>50</v>
      </c>
      <c r="E184" s="3" t="s">
        <v>59</v>
      </c>
      <c r="F184" s="4">
        <v>426487</v>
      </c>
      <c r="G184" s="4">
        <v>176469</v>
      </c>
      <c r="H184" s="4">
        <v>121016</v>
      </c>
      <c r="I184" s="3" t="s">
        <v>33</v>
      </c>
      <c r="J184" s="3" t="s">
        <v>24</v>
      </c>
    </row>
    <row r="185" spans="1:10" x14ac:dyDescent="0.3">
      <c r="A185" s="3" t="s">
        <v>496</v>
      </c>
      <c r="B185" s="3" t="s">
        <v>1176</v>
      </c>
      <c r="C185" s="3" t="s">
        <v>44</v>
      </c>
      <c r="D185" s="3">
        <v>21</v>
      </c>
      <c r="E185" s="3" t="s">
        <v>59</v>
      </c>
      <c r="F185" s="4">
        <v>442824</v>
      </c>
      <c r="G185" s="4">
        <v>185490</v>
      </c>
      <c r="H185" s="4">
        <v>132787</v>
      </c>
      <c r="I185" s="3" t="s">
        <v>33</v>
      </c>
      <c r="J185" s="3" t="s">
        <v>24</v>
      </c>
    </row>
    <row r="186" spans="1:10" x14ac:dyDescent="0.3">
      <c r="A186" s="3" t="s">
        <v>497</v>
      </c>
      <c r="B186" s="3" t="s">
        <v>1277</v>
      </c>
      <c r="C186" s="3" t="s">
        <v>44</v>
      </c>
      <c r="D186" s="3">
        <v>39</v>
      </c>
      <c r="E186" s="3" t="s">
        <v>59</v>
      </c>
      <c r="F186" s="4">
        <v>376223</v>
      </c>
      <c r="G186" s="4">
        <v>128406</v>
      </c>
      <c r="H186" s="4">
        <v>124081</v>
      </c>
      <c r="I186" s="3" t="s">
        <v>33</v>
      </c>
      <c r="J186" s="3" t="s">
        <v>24</v>
      </c>
    </row>
    <row r="187" spans="1:10" x14ac:dyDescent="0.3">
      <c r="A187" s="3" t="s">
        <v>499</v>
      </c>
      <c r="B187" s="3" t="s">
        <v>1278</v>
      </c>
      <c r="C187" s="3" t="s">
        <v>44</v>
      </c>
      <c r="D187" s="3">
        <v>54</v>
      </c>
      <c r="E187" s="3" t="s">
        <v>22</v>
      </c>
      <c r="F187" s="4">
        <v>373850</v>
      </c>
      <c r="G187" s="4">
        <v>163039</v>
      </c>
      <c r="H187" s="4">
        <v>121571</v>
      </c>
      <c r="I187" s="3" t="s">
        <v>16</v>
      </c>
      <c r="J187" s="3" t="s">
        <v>17</v>
      </c>
    </row>
    <row r="188" spans="1:10" x14ac:dyDescent="0.3">
      <c r="A188" s="3" t="s">
        <v>501</v>
      </c>
      <c r="B188" s="3" t="s">
        <v>1279</v>
      </c>
      <c r="C188" s="3" t="s">
        <v>21</v>
      </c>
      <c r="D188" s="3">
        <v>30</v>
      </c>
      <c r="E188" s="3" t="s">
        <v>59</v>
      </c>
      <c r="F188" s="4">
        <v>490901</v>
      </c>
      <c r="G188" s="4">
        <v>180701</v>
      </c>
      <c r="H188" s="4">
        <v>78111</v>
      </c>
      <c r="I188" s="3" t="s">
        <v>23</v>
      </c>
      <c r="J188" s="3" t="s">
        <v>24</v>
      </c>
    </row>
    <row r="189" spans="1:10" x14ac:dyDescent="0.3">
      <c r="A189" s="3" t="s">
        <v>502</v>
      </c>
      <c r="B189" s="3" t="s">
        <v>1280</v>
      </c>
      <c r="C189" s="3" t="s">
        <v>44</v>
      </c>
      <c r="D189" s="3">
        <v>25</v>
      </c>
      <c r="E189" s="3" t="s">
        <v>22</v>
      </c>
      <c r="F189" s="4">
        <v>60576</v>
      </c>
      <c r="G189" s="4">
        <v>115473</v>
      </c>
      <c r="H189" s="4">
        <v>121304</v>
      </c>
      <c r="I189" s="3" t="s">
        <v>33</v>
      </c>
      <c r="J189" s="3" t="s">
        <v>24</v>
      </c>
    </row>
    <row r="190" spans="1:10" x14ac:dyDescent="0.3">
      <c r="A190" s="3" t="s">
        <v>503</v>
      </c>
      <c r="B190" s="3" t="s">
        <v>1281</v>
      </c>
      <c r="C190" s="3" t="s">
        <v>21</v>
      </c>
      <c r="D190" s="3">
        <v>22</v>
      </c>
      <c r="E190" s="3" t="s">
        <v>1590</v>
      </c>
      <c r="F190" s="4">
        <v>393459</v>
      </c>
      <c r="G190" s="4">
        <v>58701</v>
      </c>
      <c r="H190" s="4">
        <v>116099</v>
      </c>
      <c r="I190" s="3" t="s">
        <v>16</v>
      </c>
      <c r="J190" s="3" t="s">
        <v>17</v>
      </c>
    </row>
    <row r="191" spans="1:10" x14ac:dyDescent="0.3">
      <c r="A191" s="3" t="s">
        <v>505</v>
      </c>
      <c r="B191" s="3" t="s">
        <v>1282</v>
      </c>
      <c r="C191" s="3" t="s">
        <v>48</v>
      </c>
      <c r="D191" s="3">
        <v>24</v>
      </c>
      <c r="E191" s="3" t="s">
        <v>59</v>
      </c>
      <c r="F191" s="4">
        <v>137414</v>
      </c>
      <c r="G191" s="4">
        <v>29246</v>
      </c>
      <c r="H191" s="4">
        <v>118197</v>
      </c>
      <c r="I191" s="3" t="s">
        <v>33</v>
      </c>
      <c r="J191" s="3" t="s">
        <v>17</v>
      </c>
    </row>
    <row r="192" spans="1:10" x14ac:dyDescent="0.3">
      <c r="A192" s="3" t="s">
        <v>508</v>
      </c>
      <c r="B192" s="3" t="s">
        <v>1283</v>
      </c>
      <c r="C192" s="3" t="s">
        <v>21</v>
      </c>
      <c r="D192" s="3">
        <v>57</v>
      </c>
      <c r="E192" s="3" t="s">
        <v>22</v>
      </c>
      <c r="F192" s="4">
        <v>252076.51219512196</v>
      </c>
      <c r="G192" s="4">
        <v>114677</v>
      </c>
      <c r="H192" s="4">
        <v>115143</v>
      </c>
      <c r="I192" s="3" t="s">
        <v>33</v>
      </c>
      <c r="J192" s="3" t="s">
        <v>24</v>
      </c>
    </row>
    <row r="193" spans="1:10" x14ac:dyDescent="0.3">
      <c r="A193" s="3" t="s">
        <v>509</v>
      </c>
      <c r="B193" s="3" t="s">
        <v>1284</v>
      </c>
      <c r="C193" s="3" t="s">
        <v>44</v>
      </c>
      <c r="D193" s="3">
        <v>55</v>
      </c>
      <c r="E193" s="3" t="s">
        <v>22</v>
      </c>
      <c r="F193" s="4">
        <v>357817</v>
      </c>
      <c r="G193" s="4">
        <v>143134</v>
      </c>
      <c r="H193" s="4">
        <v>105627</v>
      </c>
      <c r="I193" s="3" t="s">
        <v>33</v>
      </c>
      <c r="J193" s="3" t="s">
        <v>24</v>
      </c>
    </row>
    <row r="194" spans="1:10" x14ac:dyDescent="0.3">
      <c r="A194" s="3" t="s">
        <v>512</v>
      </c>
      <c r="B194" s="3" t="s">
        <v>1285</v>
      </c>
      <c r="C194" s="3" t="s">
        <v>21</v>
      </c>
      <c r="D194" s="3">
        <v>52</v>
      </c>
      <c r="E194" s="3" t="s">
        <v>22</v>
      </c>
      <c r="F194" s="4">
        <v>267301</v>
      </c>
      <c r="G194" s="4">
        <v>65147</v>
      </c>
      <c r="H194" s="4">
        <v>89017</v>
      </c>
      <c r="I194" s="3" t="s">
        <v>23</v>
      </c>
      <c r="J194" s="3" t="s">
        <v>24</v>
      </c>
    </row>
    <row r="195" spans="1:10" x14ac:dyDescent="0.3">
      <c r="A195" s="3" t="s">
        <v>513</v>
      </c>
      <c r="B195" s="3" t="s">
        <v>1286</v>
      </c>
      <c r="C195" s="3" t="s">
        <v>21</v>
      </c>
      <c r="D195" s="3">
        <v>38</v>
      </c>
      <c r="E195" s="3" t="s">
        <v>22</v>
      </c>
      <c r="F195" s="4">
        <v>38570</v>
      </c>
      <c r="G195" s="4">
        <v>172496</v>
      </c>
      <c r="H195" s="4">
        <v>50085</v>
      </c>
      <c r="I195" s="3" t="s">
        <v>16</v>
      </c>
      <c r="J195" s="3" t="s">
        <v>17</v>
      </c>
    </row>
    <row r="196" spans="1:10" x14ac:dyDescent="0.3">
      <c r="A196" s="3" t="s">
        <v>516</v>
      </c>
      <c r="B196" s="3" t="s">
        <v>1287</v>
      </c>
      <c r="C196" s="3" t="s">
        <v>48</v>
      </c>
      <c r="D196" s="3">
        <v>57</v>
      </c>
      <c r="E196" s="3" t="s">
        <v>1590</v>
      </c>
      <c r="F196" s="4">
        <v>142157</v>
      </c>
      <c r="G196" s="4">
        <v>294194</v>
      </c>
      <c r="H196" s="4">
        <v>143345</v>
      </c>
      <c r="I196" s="3" t="s">
        <v>23</v>
      </c>
      <c r="J196" s="3" t="s">
        <v>17</v>
      </c>
    </row>
    <row r="197" spans="1:10" x14ac:dyDescent="0.3">
      <c r="A197" s="3" t="s">
        <v>517</v>
      </c>
      <c r="B197" s="3" t="s">
        <v>1288</v>
      </c>
      <c r="C197" s="3" t="s">
        <v>48</v>
      </c>
      <c r="D197" s="3">
        <v>28</v>
      </c>
      <c r="E197" s="3" t="s">
        <v>59</v>
      </c>
      <c r="F197" s="4">
        <v>324504</v>
      </c>
      <c r="G197" s="4">
        <v>85106</v>
      </c>
      <c r="H197" s="4">
        <v>70595</v>
      </c>
      <c r="I197" s="3" t="s">
        <v>33</v>
      </c>
      <c r="J197" s="3" t="s">
        <v>24</v>
      </c>
    </row>
    <row r="198" spans="1:10" x14ac:dyDescent="0.3">
      <c r="A198" s="3" t="s">
        <v>520</v>
      </c>
      <c r="B198" s="3" t="s">
        <v>1289</v>
      </c>
      <c r="C198" s="3" t="s">
        <v>48</v>
      </c>
      <c r="D198" s="3">
        <v>25</v>
      </c>
      <c r="E198" s="3" t="s">
        <v>22</v>
      </c>
      <c r="F198" s="4">
        <v>385218</v>
      </c>
      <c r="G198" s="4">
        <v>56024</v>
      </c>
      <c r="H198" s="4">
        <v>74402</v>
      </c>
      <c r="I198" s="3" t="s">
        <v>16</v>
      </c>
      <c r="J198" s="3" t="s">
        <v>17</v>
      </c>
    </row>
    <row r="199" spans="1:10" x14ac:dyDescent="0.3">
      <c r="A199" s="3" t="s">
        <v>522</v>
      </c>
      <c r="B199" s="3" t="s">
        <v>1290</v>
      </c>
      <c r="C199" s="3" t="s">
        <v>58</v>
      </c>
      <c r="D199" s="3">
        <v>48</v>
      </c>
      <c r="E199" s="3" t="s">
        <v>22</v>
      </c>
      <c r="F199" s="4">
        <v>273361</v>
      </c>
      <c r="G199" s="4">
        <v>84910</v>
      </c>
      <c r="H199" s="4">
        <v>106961</v>
      </c>
      <c r="I199" s="3" t="s">
        <v>33</v>
      </c>
      <c r="J199" s="3" t="s">
        <v>24</v>
      </c>
    </row>
    <row r="200" spans="1:10" x14ac:dyDescent="0.3">
      <c r="A200" s="3" t="s">
        <v>524</v>
      </c>
      <c r="B200" s="3" t="s">
        <v>1291</v>
      </c>
      <c r="C200" s="3" t="s">
        <v>14</v>
      </c>
      <c r="D200" s="3">
        <v>30</v>
      </c>
      <c r="E200" s="3" t="s">
        <v>22</v>
      </c>
      <c r="F200" s="4">
        <v>461653</v>
      </c>
      <c r="G200" s="4">
        <v>185518.09090909091</v>
      </c>
      <c r="H200" s="4">
        <v>10221</v>
      </c>
      <c r="I200" s="3" t="s">
        <v>23</v>
      </c>
      <c r="J200" s="3" t="s">
        <v>17</v>
      </c>
    </row>
    <row r="201" spans="1:10" x14ac:dyDescent="0.3">
      <c r="A201" s="3" t="s">
        <v>526</v>
      </c>
      <c r="B201" s="3" t="s">
        <v>1292</v>
      </c>
      <c r="C201" s="3" t="s">
        <v>48</v>
      </c>
      <c r="D201" s="3">
        <v>33</v>
      </c>
      <c r="E201" s="3" t="s">
        <v>22</v>
      </c>
      <c r="F201" s="4">
        <v>3706</v>
      </c>
      <c r="G201" s="4">
        <v>291665</v>
      </c>
      <c r="H201" s="4">
        <v>47241</v>
      </c>
      <c r="I201" s="3" t="s">
        <v>33</v>
      </c>
      <c r="J201" s="3" t="s">
        <v>24</v>
      </c>
    </row>
    <row r="202" spans="1:10" x14ac:dyDescent="0.3">
      <c r="A202" s="3" t="s">
        <v>528</v>
      </c>
      <c r="B202" s="3" t="s">
        <v>1252</v>
      </c>
      <c r="C202" s="3" t="s">
        <v>44</v>
      </c>
      <c r="D202" s="3">
        <v>40</v>
      </c>
      <c r="E202" s="3" t="s">
        <v>59</v>
      </c>
      <c r="F202" s="4">
        <v>160888</v>
      </c>
      <c r="G202" s="4">
        <v>201370</v>
      </c>
      <c r="H202" s="4">
        <v>131358</v>
      </c>
      <c r="I202" s="3" t="s">
        <v>23</v>
      </c>
      <c r="J202" s="3" t="s">
        <v>24</v>
      </c>
    </row>
    <row r="203" spans="1:10" x14ac:dyDescent="0.3">
      <c r="A203" s="3" t="s">
        <v>529</v>
      </c>
      <c r="B203" s="3" t="s">
        <v>1293</v>
      </c>
      <c r="C203" s="3" t="s">
        <v>48</v>
      </c>
      <c r="D203" s="3">
        <v>31</v>
      </c>
      <c r="E203" s="3" t="s">
        <v>22</v>
      </c>
      <c r="F203" s="4">
        <v>173075</v>
      </c>
      <c r="G203" s="4">
        <v>196861</v>
      </c>
      <c r="H203" s="4">
        <v>38615</v>
      </c>
      <c r="I203" s="3" t="s">
        <v>33</v>
      </c>
      <c r="J203" s="3" t="s">
        <v>24</v>
      </c>
    </row>
    <row r="204" spans="1:10" x14ac:dyDescent="0.3">
      <c r="A204" s="3" t="s">
        <v>531</v>
      </c>
      <c r="B204" s="3" t="s">
        <v>1294</v>
      </c>
      <c r="C204" s="3" t="s">
        <v>48</v>
      </c>
      <c r="D204" s="3">
        <v>24</v>
      </c>
      <c r="E204" s="3" t="s">
        <v>59</v>
      </c>
      <c r="F204" s="4">
        <v>399985</v>
      </c>
      <c r="G204" s="4">
        <v>29972</v>
      </c>
      <c r="H204" s="4">
        <v>11539</v>
      </c>
      <c r="I204" s="3" t="s">
        <v>16</v>
      </c>
      <c r="J204" s="3" t="s">
        <v>24</v>
      </c>
    </row>
    <row r="205" spans="1:10" x14ac:dyDescent="0.3">
      <c r="A205" s="3" t="s">
        <v>534</v>
      </c>
      <c r="B205" s="3" t="s">
        <v>1295</v>
      </c>
      <c r="C205" s="3" t="s">
        <v>14</v>
      </c>
      <c r="D205" s="3">
        <v>43</v>
      </c>
      <c r="E205" s="3" t="s">
        <v>59</v>
      </c>
      <c r="F205" s="4">
        <v>369506</v>
      </c>
      <c r="G205" s="4">
        <v>181233</v>
      </c>
      <c r="H205" s="4">
        <v>104626</v>
      </c>
      <c r="I205" s="3" t="s">
        <v>23</v>
      </c>
      <c r="J205" s="3" t="s">
        <v>17</v>
      </c>
    </row>
    <row r="206" spans="1:10" x14ac:dyDescent="0.3">
      <c r="A206" s="3" t="s">
        <v>537</v>
      </c>
      <c r="B206" s="3" t="s">
        <v>1296</v>
      </c>
      <c r="C206" s="3" t="s">
        <v>21</v>
      </c>
      <c r="D206" s="3">
        <v>53</v>
      </c>
      <c r="E206" s="3" t="s">
        <v>59</v>
      </c>
      <c r="F206" s="4">
        <v>437459</v>
      </c>
      <c r="G206" s="4">
        <v>8915</v>
      </c>
      <c r="H206" s="4">
        <v>67898</v>
      </c>
      <c r="I206" s="3" t="s">
        <v>23</v>
      </c>
      <c r="J206" s="3" t="s">
        <v>17</v>
      </c>
    </row>
    <row r="207" spans="1:10" x14ac:dyDescent="0.3">
      <c r="A207" s="3" t="s">
        <v>540</v>
      </c>
      <c r="B207" s="3" t="s">
        <v>1297</v>
      </c>
      <c r="C207" s="3" t="s">
        <v>14</v>
      </c>
      <c r="D207" s="3">
        <v>36</v>
      </c>
      <c r="E207" s="3" t="s">
        <v>59</v>
      </c>
      <c r="F207" s="4">
        <v>187536</v>
      </c>
      <c r="G207" s="4">
        <v>75679</v>
      </c>
      <c r="H207" s="4">
        <v>92037</v>
      </c>
      <c r="I207" s="3" t="s">
        <v>16</v>
      </c>
      <c r="J207" s="3" t="s">
        <v>17</v>
      </c>
    </row>
    <row r="208" spans="1:10" x14ac:dyDescent="0.3">
      <c r="A208" s="3" t="s">
        <v>542</v>
      </c>
      <c r="B208" s="3" t="s">
        <v>1298</v>
      </c>
      <c r="C208" s="3" t="s">
        <v>44</v>
      </c>
      <c r="D208" s="3">
        <v>49</v>
      </c>
      <c r="E208" s="3" t="s">
        <v>22</v>
      </c>
      <c r="F208" s="4">
        <v>279710</v>
      </c>
      <c r="G208" s="4">
        <v>116645</v>
      </c>
      <c r="H208" s="4">
        <v>77897</v>
      </c>
      <c r="I208" s="3" t="s">
        <v>33</v>
      </c>
      <c r="J208" s="3" t="s">
        <v>17</v>
      </c>
    </row>
    <row r="209" spans="1:10" x14ac:dyDescent="0.3">
      <c r="A209" s="3" t="s">
        <v>544</v>
      </c>
      <c r="B209" s="3" t="s">
        <v>1299</v>
      </c>
      <c r="C209" s="3" t="s">
        <v>58</v>
      </c>
      <c r="D209" s="3">
        <v>33</v>
      </c>
      <c r="E209" s="3" t="s">
        <v>59</v>
      </c>
      <c r="F209" s="4">
        <v>379479</v>
      </c>
      <c r="G209" s="4">
        <v>31375</v>
      </c>
      <c r="H209" s="4">
        <v>106578</v>
      </c>
      <c r="I209" s="3" t="s">
        <v>23</v>
      </c>
      <c r="J209" s="3" t="s">
        <v>24</v>
      </c>
    </row>
    <row r="210" spans="1:10" x14ac:dyDescent="0.3">
      <c r="A210" s="3" t="s">
        <v>546</v>
      </c>
      <c r="B210" s="3" t="s">
        <v>1300</v>
      </c>
      <c r="C210" s="3" t="s">
        <v>21</v>
      </c>
      <c r="D210" s="3">
        <v>58</v>
      </c>
      <c r="E210" s="3" t="s">
        <v>59</v>
      </c>
      <c r="F210" s="4">
        <v>441773</v>
      </c>
      <c r="G210" s="4">
        <v>259703</v>
      </c>
      <c r="H210" s="4">
        <v>39597</v>
      </c>
      <c r="I210" s="3" t="s">
        <v>23</v>
      </c>
      <c r="J210" s="3" t="s">
        <v>24</v>
      </c>
    </row>
    <row r="211" spans="1:10" x14ac:dyDescent="0.3">
      <c r="A211" s="3" t="s">
        <v>548</v>
      </c>
      <c r="B211" s="3" t="s">
        <v>1301</v>
      </c>
      <c r="C211" s="3" t="s">
        <v>44</v>
      </c>
      <c r="D211" s="3">
        <v>41</v>
      </c>
      <c r="E211" s="3" t="s">
        <v>59</v>
      </c>
      <c r="F211" s="4">
        <v>27728</v>
      </c>
      <c r="G211" s="4">
        <v>96516</v>
      </c>
      <c r="H211" s="4">
        <v>16978</v>
      </c>
      <c r="I211" s="3" t="s">
        <v>33</v>
      </c>
      <c r="J211" s="3" t="s">
        <v>17</v>
      </c>
    </row>
    <row r="212" spans="1:10" x14ac:dyDescent="0.3">
      <c r="A212" s="3" t="s">
        <v>551</v>
      </c>
      <c r="B212" s="3" t="s">
        <v>1302</v>
      </c>
      <c r="C212" s="3" t="s">
        <v>21</v>
      </c>
      <c r="D212" s="3">
        <v>21</v>
      </c>
      <c r="E212" s="3" t="s">
        <v>59</v>
      </c>
      <c r="F212" s="4">
        <v>374804</v>
      </c>
      <c r="G212" s="4">
        <v>131689</v>
      </c>
      <c r="H212" s="4">
        <v>45773</v>
      </c>
      <c r="I212" s="3" t="s">
        <v>33</v>
      </c>
      <c r="J212" s="3" t="s">
        <v>24</v>
      </c>
    </row>
    <row r="213" spans="1:10" x14ac:dyDescent="0.3">
      <c r="A213" s="3" t="s">
        <v>553</v>
      </c>
      <c r="B213" s="3" t="s">
        <v>1303</v>
      </c>
      <c r="C213" s="3" t="s">
        <v>48</v>
      </c>
      <c r="D213" s="3">
        <v>32</v>
      </c>
      <c r="E213" s="3" t="s">
        <v>59</v>
      </c>
      <c r="F213" s="4">
        <v>53731</v>
      </c>
      <c r="G213" s="4">
        <v>50989</v>
      </c>
      <c r="H213" s="4">
        <v>123390</v>
      </c>
      <c r="I213" s="3" t="s">
        <v>16</v>
      </c>
      <c r="J213" s="3" t="s">
        <v>24</v>
      </c>
    </row>
    <row r="214" spans="1:10" x14ac:dyDescent="0.3">
      <c r="A214" s="3" t="s">
        <v>555</v>
      </c>
      <c r="B214" s="3" t="s">
        <v>1304</v>
      </c>
      <c r="C214" s="3" t="s">
        <v>44</v>
      </c>
      <c r="D214" s="3">
        <v>40</v>
      </c>
      <c r="E214" s="3" t="s">
        <v>22</v>
      </c>
      <c r="F214" s="4">
        <v>252076.51219512196</v>
      </c>
      <c r="G214" s="4">
        <v>117495</v>
      </c>
      <c r="H214" s="4">
        <v>97688</v>
      </c>
      <c r="I214" s="3" t="s">
        <v>33</v>
      </c>
      <c r="J214" s="3" t="s">
        <v>24</v>
      </c>
    </row>
    <row r="215" spans="1:10" x14ac:dyDescent="0.3">
      <c r="A215" s="3" t="s">
        <v>557</v>
      </c>
      <c r="B215" s="3" t="s">
        <v>1305</v>
      </c>
      <c r="C215" s="3" t="s">
        <v>58</v>
      </c>
      <c r="D215" s="3">
        <v>39.868583162217661</v>
      </c>
      <c r="E215" s="3" t="s">
        <v>59</v>
      </c>
      <c r="F215" s="4">
        <v>467647</v>
      </c>
      <c r="G215" s="4">
        <v>111897</v>
      </c>
      <c r="H215" s="4">
        <v>90662</v>
      </c>
      <c r="I215" s="3" t="s">
        <v>23</v>
      </c>
      <c r="J215" s="3" t="s">
        <v>24</v>
      </c>
    </row>
    <row r="216" spans="1:10" x14ac:dyDescent="0.3">
      <c r="A216" s="3" t="s">
        <v>559</v>
      </c>
      <c r="B216" s="3" t="s">
        <v>1306</v>
      </c>
      <c r="C216" s="3" t="s">
        <v>44</v>
      </c>
      <c r="D216" s="3">
        <v>51</v>
      </c>
      <c r="E216" s="3" t="s">
        <v>1590</v>
      </c>
      <c r="F216" s="4">
        <v>252076.51219512196</v>
      </c>
      <c r="G216" s="4">
        <v>158368</v>
      </c>
      <c r="H216" s="4">
        <v>123724</v>
      </c>
      <c r="I216" s="3" t="s">
        <v>33</v>
      </c>
      <c r="J216" s="3" t="s">
        <v>17</v>
      </c>
    </row>
    <row r="217" spans="1:10" x14ac:dyDescent="0.3">
      <c r="A217" s="3" t="s">
        <v>560</v>
      </c>
      <c r="B217" s="3" t="s">
        <v>1307</v>
      </c>
      <c r="C217" s="3" t="s">
        <v>21</v>
      </c>
      <c r="D217" s="3">
        <v>39.868583162217661</v>
      </c>
      <c r="E217" s="3" t="s">
        <v>59</v>
      </c>
      <c r="F217" s="4">
        <v>333141</v>
      </c>
      <c r="G217" s="4">
        <v>103652</v>
      </c>
      <c r="H217" s="4">
        <v>108797</v>
      </c>
      <c r="I217" s="3" t="s">
        <v>16</v>
      </c>
      <c r="J217" s="3" t="s">
        <v>17</v>
      </c>
    </row>
    <row r="218" spans="1:10" x14ac:dyDescent="0.3">
      <c r="A218" s="3" t="s">
        <v>563</v>
      </c>
      <c r="B218" s="3" t="s">
        <v>1308</v>
      </c>
      <c r="C218" s="3" t="s">
        <v>14</v>
      </c>
      <c r="D218" s="3">
        <v>40</v>
      </c>
      <c r="E218" s="3" t="s">
        <v>22</v>
      </c>
      <c r="F218" s="4">
        <v>198536</v>
      </c>
      <c r="G218" s="4">
        <v>117919</v>
      </c>
      <c r="H218" s="4">
        <v>146338</v>
      </c>
      <c r="I218" s="3" t="s">
        <v>33</v>
      </c>
      <c r="J218" s="3" t="s">
        <v>17</v>
      </c>
    </row>
    <row r="219" spans="1:10" x14ac:dyDescent="0.3">
      <c r="A219" s="3" t="s">
        <v>565</v>
      </c>
      <c r="B219" s="3" t="s">
        <v>1309</v>
      </c>
      <c r="C219" s="3" t="s">
        <v>48</v>
      </c>
      <c r="D219" s="3">
        <v>29</v>
      </c>
      <c r="E219" s="3" t="s">
        <v>22</v>
      </c>
      <c r="F219" s="4">
        <v>162643</v>
      </c>
      <c r="G219" s="4">
        <v>232547</v>
      </c>
      <c r="H219" s="4">
        <v>134424</v>
      </c>
      <c r="I219" s="3" t="s">
        <v>33</v>
      </c>
      <c r="J219" s="3" t="s">
        <v>24</v>
      </c>
    </row>
    <row r="220" spans="1:10" x14ac:dyDescent="0.3">
      <c r="A220" s="3" t="s">
        <v>567</v>
      </c>
      <c r="B220" s="3" t="s">
        <v>1310</v>
      </c>
      <c r="C220" s="3" t="s">
        <v>21</v>
      </c>
      <c r="D220" s="3">
        <v>57</v>
      </c>
      <c r="E220" s="3" t="s">
        <v>1590</v>
      </c>
      <c r="F220" s="4">
        <v>355603</v>
      </c>
      <c r="G220" s="4">
        <v>262024</v>
      </c>
      <c r="H220" s="4">
        <v>53274</v>
      </c>
      <c r="I220" s="3" t="s">
        <v>23</v>
      </c>
      <c r="J220" s="3" t="s">
        <v>17</v>
      </c>
    </row>
    <row r="221" spans="1:10" x14ac:dyDescent="0.3">
      <c r="A221" s="3" t="s">
        <v>570</v>
      </c>
      <c r="B221" s="3" t="s">
        <v>1311</v>
      </c>
      <c r="C221" s="3" t="s">
        <v>14</v>
      </c>
      <c r="D221" s="3">
        <v>27</v>
      </c>
      <c r="E221" s="3" t="s">
        <v>22</v>
      </c>
      <c r="F221" s="4">
        <v>246510</v>
      </c>
      <c r="G221" s="4">
        <v>252281</v>
      </c>
      <c r="H221" s="4">
        <v>77699</v>
      </c>
      <c r="I221" s="3" t="s">
        <v>23</v>
      </c>
      <c r="J221" s="3" t="s">
        <v>24</v>
      </c>
    </row>
    <row r="222" spans="1:10" x14ac:dyDescent="0.3">
      <c r="A222" s="3" t="s">
        <v>572</v>
      </c>
      <c r="B222" s="3" t="s">
        <v>1312</v>
      </c>
      <c r="C222" s="3" t="s">
        <v>44</v>
      </c>
      <c r="D222" s="3">
        <v>25</v>
      </c>
      <c r="E222" s="3" t="s">
        <v>59</v>
      </c>
      <c r="F222" s="4">
        <v>92489</v>
      </c>
      <c r="G222" s="4">
        <v>68057</v>
      </c>
      <c r="H222" s="4">
        <v>83366</v>
      </c>
      <c r="I222" s="3" t="s">
        <v>16</v>
      </c>
      <c r="J222" s="3" t="s">
        <v>17</v>
      </c>
    </row>
    <row r="223" spans="1:10" x14ac:dyDescent="0.3">
      <c r="A223" s="3" t="s">
        <v>575</v>
      </c>
      <c r="B223" s="3" t="s">
        <v>1313</v>
      </c>
      <c r="C223" s="3" t="s">
        <v>58</v>
      </c>
      <c r="D223" s="3">
        <v>40</v>
      </c>
      <c r="E223" s="3" t="s">
        <v>59</v>
      </c>
      <c r="F223" s="4">
        <v>449914</v>
      </c>
      <c r="G223" s="4">
        <v>181459</v>
      </c>
      <c r="H223" s="4">
        <v>97438</v>
      </c>
      <c r="I223" s="3" t="s">
        <v>33</v>
      </c>
      <c r="J223" s="3" t="s">
        <v>17</v>
      </c>
    </row>
    <row r="224" spans="1:10" x14ac:dyDescent="0.3">
      <c r="A224" s="3" t="s">
        <v>577</v>
      </c>
      <c r="B224" s="3" t="s">
        <v>1314</v>
      </c>
      <c r="C224" s="3" t="s">
        <v>21</v>
      </c>
      <c r="D224" s="3">
        <v>29</v>
      </c>
      <c r="E224" s="3" t="s">
        <v>1590</v>
      </c>
      <c r="F224" s="4">
        <v>100430</v>
      </c>
      <c r="G224" s="4">
        <v>229577</v>
      </c>
      <c r="H224" s="4">
        <v>85300</v>
      </c>
      <c r="I224" s="3" t="s">
        <v>16</v>
      </c>
      <c r="J224" s="3" t="s">
        <v>17</v>
      </c>
    </row>
    <row r="225" spans="1:10" x14ac:dyDescent="0.3">
      <c r="A225" s="3" t="s">
        <v>579</v>
      </c>
      <c r="B225" s="3" t="s">
        <v>1315</v>
      </c>
      <c r="C225" s="3" t="s">
        <v>21</v>
      </c>
      <c r="D225" s="3">
        <v>28</v>
      </c>
      <c r="E225" s="3" t="s">
        <v>1590</v>
      </c>
      <c r="F225" s="4">
        <v>145754</v>
      </c>
      <c r="G225" s="4">
        <v>10382</v>
      </c>
      <c r="H225" s="4">
        <v>99604</v>
      </c>
      <c r="I225" s="3" t="s">
        <v>16</v>
      </c>
      <c r="J225" s="3" t="s">
        <v>17</v>
      </c>
    </row>
    <row r="226" spans="1:10" x14ac:dyDescent="0.3">
      <c r="A226" s="3" t="s">
        <v>581</v>
      </c>
      <c r="B226" s="3" t="s">
        <v>1316</v>
      </c>
      <c r="C226" s="3" t="s">
        <v>48</v>
      </c>
      <c r="D226" s="3">
        <v>28</v>
      </c>
      <c r="E226" s="3" t="s">
        <v>22</v>
      </c>
      <c r="F226" s="4">
        <v>490192</v>
      </c>
      <c r="G226" s="4">
        <v>260016</v>
      </c>
      <c r="H226" s="4">
        <v>35474</v>
      </c>
      <c r="I226" s="3" t="s">
        <v>23</v>
      </c>
      <c r="J226" s="3" t="s">
        <v>24</v>
      </c>
    </row>
    <row r="227" spans="1:10" x14ac:dyDescent="0.3">
      <c r="A227" s="3" t="s">
        <v>584</v>
      </c>
      <c r="B227" s="3" t="s">
        <v>1317</v>
      </c>
      <c r="C227" s="3" t="s">
        <v>44</v>
      </c>
      <c r="D227" s="3">
        <v>38</v>
      </c>
      <c r="E227" s="3" t="s">
        <v>22</v>
      </c>
      <c r="F227" s="4">
        <v>455177</v>
      </c>
      <c r="G227" s="4">
        <v>43604</v>
      </c>
      <c r="H227" s="4">
        <v>110288</v>
      </c>
      <c r="I227" s="3" t="s">
        <v>23</v>
      </c>
      <c r="J227" s="3" t="s">
        <v>24</v>
      </c>
    </row>
    <row r="228" spans="1:10" x14ac:dyDescent="0.3">
      <c r="A228" s="3" t="s">
        <v>586</v>
      </c>
      <c r="B228" s="3" t="s">
        <v>1318</v>
      </c>
      <c r="C228" s="3" t="s">
        <v>58</v>
      </c>
      <c r="D228" s="3">
        <v>35</v>
      </c>
      <c r="E228" s="3" t="s">
        <v>22</v>
      </c>
      <c r="F228" s="4">
        <v>8503</v>
      </c>
      <c r="G228" s="4">
        <v>141166</v>
      </c>
      <c r="H228" s="4">
        <v>147723</v>
      </c>
      <c r="I228" s="3" t="s">
        <v>16</v>
      </c>
      <c r="J228" s="3" t="s">
        <v>24</v>
      </c>
    </row>
    <row r="229" spans="1:10" x14ac:dyDescent="0.3">
      <c r="A229" s="3" t="s">
        <v>587</v>
      </c>
      <c r="B229" s="3" t="s">
        <v>1319</v>
      </c>
      <c r="C229" s="3" t="s">
        <v>58</v>
      </c>
      <c r="D229" s="3">
        <v>44</v>
      </c>
      <c r="E229" s="3" t="s">
        <v>22</v>
      </c>
      <c r="F229" s="4">
        <v>66769</v>
      </c>
      <c r="G229" s="4">
        <v>90077</v>
      </c>
      <c r="H229" s="4">
        <v>30896</v>
      </c>
      <c r="I229" s="3" t="s">
        <v>16</v>
      </c>
      <c r="J229" s="3" t="s">
        <v>24</v>
      </c>
    </row>
    <row r="230" spans="1:10" x14ac:dyDescent="0.3">
      <c r="A230" s="3" t="s">
        <v>589</v>
      </c>
      <c r="B230" s="3" t="s">
        <v>1320</v>
      </c>
      <c r="C230" s="3" t="s">
        <v>58</v>
      </c>
      <c r="D230" s="3">
        <v>33</v>
      </c>
      <c r="E230" s="3" t="s">
        <v>59</v>
      </c>
      <c r="F230" s="4">
        <v>14098</v>
      </c>
      <c r="G230" s="4">
        <v>261495</v>
      </c>
      <c r="H230" s="4">
        <v>92688</v>
      </c>
      <c r="I230" s="3" t="s">
        <v>33</v>
      </c>
      <c r="J230" s="3" t="s">
        <v>24</v>
      </c>
    </row>
    <row r="231" spans="1:10" x14ac:dyDescent="0.3">
      <c r="A231" s="3" t="s">
        <v>592</v>
      </c>
      <c r="B231" s="3" t="s">
        <v>1321</v>
      </c>
      <c r="C231" s="3" t="s">
        <v>14</v>
      </c>
      <c r="D231" s="3">
        <v>46</v>
      </c>
      <c r="E231" s="3" t="s">
        <v>1590</v>
      </c>
      <c r="F231" s="4">
        <v>32423</v>
      </c>
      <c r="G231" s="4">
        <v>92123</v>
      </c>
      <c r="H231" s="4">
        <v>91434</v>
      </c>
      <c r="I231" s="3" t="s">
        <v>33</v>
      </c>
      <c r="J231" s="3" t="s">
        <v>17</v>
      </c>
    </row>
    <row r="232" spans="1:10" x14ac:dyDescent="0.3">
      <c r="A232" s="3" t="s">
        <v>593</v>
      </c>
      <c r="B232" s="3" t="s">
        <v>1322</v>
      </c>
      <c r="C232" s="3" t="s">
        <v>48</v>
      </c>
      <c r="D232" s="3">
        <v>43</v>
      </c>
      <c r="E232" s="3" t="s">
        <v>22</v>
      </c>
      <c r="F232" s="4">
        <v>495740</v>
      </c>
      <c r="G232" s="4">
        <v>260742</v>
      </c>
      <c r="H232" s="4">
        <v>65183</v>
      </c>
      <c r="I232" s="3" t="s">
        <v>23</v>
      </c>
      <c r="J232" s="3" t="s">
        <v>17</v>
      </c>
    </row>
    <row r="233" spans="1:10" x14ac:dyDescent="0.3">
      <c r="A233" s="3" t="s">
        <v>595</v>
      </c>
      <c r="B233" s="3" t="s">
        <v>1323</v>
      </c>
      <c r="C233" s="3" t="s">
        <v>48</v>
      </c>
      <c r="D233" s="3">
        <v>46</v>
      </c>
      <c r="E233" s="3" t="s">
        <v>22</v>
      </c>
      <c r="F233" s="4">
        <v>142692</v>
      </c>
      <c r="G233" s="4">
        <v>89969</v>
      </c>
      <c r="H233" s="4">
        <v>58843</v>
      </c>
      <c r="I233" s="3" t="s">
        <v>16</v>
      </c>
      <c r="J233" s="3" t="s">
        <v>17</v>
      </c>
    </row>
    <row r="234" spans="1:10" x14ac:dyDescent="0.3">
      <c r="A234" s="3" t="s">
        <v>596</v>
      </c>
      <c r="B234" s="3" t="s">
        <v>1324</v>
      </c>
      <c r="C234" s="3" t="s">
        <v>58</v>
      </c>
      <c r="D234" s="3">
        <v>47</v>
      </c>
      <c r="E234" s="3" t="s">
        <v>59</v>
      </c>
      <c r="F234" s="4">
        <v>39811</v>
      </c>
      <c r="G234" s="4">
        <v>54376</v>
      </c>
      <c r="H234" s="4">
        <v>132362</v>
      </c>
      <c r="I234" s="3" t="s">
        <v>16</v>
      </c>
      <c r="J234" s="3" t="s">
        <v>17</v>
      </c>
    </row>
    <row r="235" spans="1:10" x14ac:dyDescent="0.3">
      <c r="A235" s="3" t="s">
        <v>598</v>
      </c>
      <c r="B235" s="3" t="s">
        <v>1325</v>
      </c>
      <c r="C235" s="3" t="s">
        <v>58</v>
      </c>
      <c r="D235" s="3">
        <v>41</v>
      </c>
      <c r="E235" s="3" t="s">
        <v>59</v>
      </c>
      <c r="F235" s="4">
        <v>325458</v>
      </c>
      <c r="G235" s="4">
        <v>124323.75</v>
      </c>
      <c r="H235" s="4">
        <v>24131</v>
      </c>
      <c r="I235" s="3" t="s">
        <v>33</v>
      </c>
      <c r="J235" s="3" t="s">
        <v>17</v>
      </c>
    </row>
    <row r="236" spans="1:10" x14ac:dyDescent="0.3">
      <c r="A236" s="3" t="s">
        <v>600</v>
      </c>
      <c r="B236" s="3" t="s">
        <v>1326</v>
      </c>
      <c r="C236" s="3" t="s">
        <v>21</v>
      </c>
      <c r="D236" s="3">
        <v>55</v>
      </c>
      <c r="E236" s="3" t="s">
        <v>22</v>
      </c>
      <c r="F236" s="4">
        <v>498884</v>
      </c>
      <c r="G236" s="4">
        <v>157849</v>
      </c>
      <c r="H236" s="4">
        <v>24981</v>
      </c>
      <c r="I236" s="3" t="s">
        <v>23</v>
      </c>
      <c r="J236" s="3" t="s">
        <v>24</v>
      </c>
    </row>
    <row r="237" spans="1:10" x14ac:dyDescent="0.3">
      <c r="A237" s="3" t="s">
        <v>602</v>
      </c>
      <c r="B237" s="3" t="s">
        <v>1327</v>
      </c>
      <c r="C237" s="3" t="s">
        <v>44</v>
      </c>
      <c r="D237" s="3">
        <v>28</v>
      </c>
      <c r="E237" s="3" t="s">
        <v>22</v>
      </c>
      <c r="F237" s="4">
        <v>367522</v>
      </c>
      <c r="G237" s="4">
        <v>13770</v>
      </c>
      <c r="H237" s="4">
        <v>18397</v>
      </c>
      <c r="I237" s="3" t="s">
        <v>16</v>
      </c>
      <c r="J237" s="3" t="s">
        <v>24</v>
      </c>
    </row>
    <row r="238" spans="1:10" x14ac:dyDescent="0.3">
      <c r="A238" s="3" t="s">
        <v>604</v>
      </c>
      <c r="B238" s="3" t="s">
        <v>1287</v>
      </c>
      <c r="C238" s="3" t="s">
        <v>44</v>
      </c>
      <c r="D238" s="3">
        <v>30</v>
      </c>
      <c r="E238" s="3" t="s">
        <v>22</v>
      </c>
      <c r="F238" s="4">
        <v>74573</v>
      </c>
      <c r="G238" s="4">
        <v>181531</v>
      </c>
      <c r="H238" s="4">
        <v>101609</v>
      </c>
      <c r="I238" s="3" t="s">
        <v>23</v>
      </c>
      <c r="J238" s="3" t="s">
        <v>17</v>
      </c>
    </row>
    <row r="239" spans="1:10" x14ac:dyDescent="0.3">
      <c r="A239" s="3" t="s">
        <v>605</v>
      </c>
      <c r="B239" s="3" t="s">
        <v>1328</v>
      </c>
      <c r="C239" s="3" t="s">
        <v>48</v>
      </c>
      <c r="D239" s="3">
        <v>58</v>
      </c>
      <c r="E239" s="3" t="s">
        <v>1590</v>
      </c>
      <c r="F239" s="4">
        <v>316401</v>
      </c>
      <c r="G239" s="4">
        <v>126564</v>
      </c>
      <c r="H239" s="4">
        <v>46627</v>
      </c>
      <c r="I239" s="3" t="s">
        <v>33</v>
      </c>
      <c r="J239" s="3" t="s">
        <v>24</v>
      </c>
    </row>
    <row r="240" spans="1:10" x14ac:dyDescent="0.3">
      <c r="A240" s="3" t="s">
        <v>608</v>
      </c>
      <c r="B240" s="3" t="s">
        <v>1329</v>
      </c>
      <c r="C240" s="3" t="s">
        <v>21</v>
      </c>
      <c r="D240" s="3">
        <v>22</v>
      </c>
      <c r="E240" s="3" t="s">
        <v>59</v>
      </c>
      <c r="F240" s="4">
        <v>252076.51219512196</v>
      </c>
      <c r="G240" s="4">
        <v>125610</v>
      </c>
      <c r="H240" s="4">
        <v>144558</v>
      </c>
      <c r="I240" s="3" t="s">
        <v>23</v>
      </c>
      <c r="J240" s="3" t="s">
        <v>17</v>
      </c>
    </row>
    <row r="241" spans="1:10" x14ac:dyDescent="0.3">
      <c r="A241" s="3" t="s">
        <v>609</v>
      </c>
      <c r="B241" s="3" t="s">
        <v>1330</v>
      </c>
      <c r="C241" s="3" t="s">
        <v>48</v>
      </c>
      <c r="D241" s="3">
        <v>44</v>
      </c>
      <c r="E241" s="3" t="s">
        <v>59</v>
      </c>
      <c r="F241" s="4">
        <v>392968</v>
      </c>
      <c r="G241" s="4">
        <v>98440</v>
      </c>
      <c r="H241" s="4">
        <v>104452</v>
      </c>
      <c r="I241" s="3" t="s">
        <v>16</v>
      </c>
      <c r="J241" s="3" t="s">
        <v>24</v>
      </c>
    </row>
    <row r="242" spans="1:10" x14ac:dyDescent="0.3">
      <c r="A242" s="3" t="s">
        <v>612</v>
      </c>
      <c r="B242" s="3" t="s">
        <v>1331</v>
      </c>
      <c r="C242" s="3" t="s">
        <v>21</v>
      </c>
      <c r="D242" s="3">
        <v>25</v>
      </c>
      <c r="E242" s="3" t="s">
        <v>59</v>
      </c>
      <c r="F242" s="4">
        <v>141019</v>
      </c>
      <c r="G242" s="4">
        <v>237860</v>
      </c>
      <c r="H242" s="4">
        <v>76026</v>
      </c>
      <c r="I242" s="3" t="s">
        <v>16</v>
      </c>
      <c r="J242" s="3" t="s">
        <v>24</v>
      </c>
    </row>
    <row r="243" spans="1:10" x14ac:dyDescent="0.3">
      <c r="A243" s="3" t="s">
        <v>614</v>
      </c>
      <c r="B243" s="3" t="s">
        <v>1332</v>
      </c>
      <c r="C243" s="3" t="s">
        <v>58</v>
      </c>
      <c r="D243" s="3">
        <v>41</v>
      </c>
      <c r="E243" s="3" t="s">
        <v>1590</v>
      </c>
      <c r="F243" s="4">
        <v>26355</v>
      </c>
      <c r="G243" s="4">
        <v>288262</v>
      </c>
      <c r="H243" s="4">
        <v>140545</v>
      </c>
      <c r="I243" s="3" t="s">
        <v>16</v>
      </c>
      <c r="J243" s="3" t="s">
        <v>24</v>
      </c>
    </row>
    <row r="244" spans="1:10" x14ac:dyDescent="0.3">
      <c r="A244" s="3" t="s">
        <v>617</v>
      </c>
      <c r="B244" s="3" t="s">
        <v>1333</v>
      </c>
      <c r="C244" s="3" t="s">
        <v>44</v>
      </c>
      <c r="D244" s="3">
        <v>39</v>
      </c>
      <c r="E244" s="3" t="s">
        <v>22</v>
      </c>
      <c r="F244" s="4">
        <v>33060</v>
      </c>
      <c r="G244" s="4">
        <v>13304</v>
      </c>
      <c r="H244" s="4">
        <v>68599</v>
      </c>
      <c r="I244" s="3" t="s">
        <v>23</v>
      </c>
      <c r="J244" s="3" t="s">
        <v>17</v>
      </c>
    </row>
    <row r="245" spans="1:10" x14ac:dyDescent="0.3">
      <c r="A245" s="3" t="s">
        <v>620</v>
      </c>
      <c r="B245" s="3" t="s">
        <v>1334</v>
      </c>
      <c r="C245" s="3" t="s">
        <v>44</v>
      </c>
      <c r="D245" s="3">
        <v>29</v>
      </c>
      <c r="E245" s="3" t="s">
        <v>22</v>
      </c>
      <c r="F245" s="4">
        <v>225132</v>
      </c>
      <c r="G245" s="4">
        <v>221918.58333333334</v>
      </c>
      <c r="H245" s="4">
        <v>138186</v>
      </c>
      <c r="I245" s="3" t="s">
        <v>33</v>
      </c>
      <c r="J245" s="3" t="s">
        <v>17</v>
      </c>
    </row>
    <row r="246" spans="1:10" x14ac:dyDescent="0.3">
      <c r="A246" s="3" t="s">
        <v>621</v>
      </c>
      <c r="B246" s="3" t="s">
        <v>1335</v>
      </c>
      <c r="C246" s="3" t="s">
        <v>48</v>
      </c>
      <c r="D246" s="3">
        <v>32</v>
      </c>
      <c r="E246" s="3" t="s">
        <v>59</v>
      </c>
      <c r="F246" s="4">
        <v>378162</v>
      </c>
      <c r="G246" s="4">
        <v>29771</v>
      </c>
      <c r="H246" s="4">
        <v>90666</v>
      </c>
      <c r="I246" s="3" t="s">
        <v>23</v>
      </c>
      <c r="J246" s="3" t="s">
        <v>17</v>
      </c>
    </row>
    <row r="247" spans="1:10" x14ac:dyDescent="0.3">
      <c r="A247" s="3" t="s">
        <v>623</v>
      </c>
      <c r="B247" s="3" t="s">
        <v>1336</v>
      </c>
      <c r="C247" s="3" t="s">
        <v>14</v>
      </c>
      <c r="D247" s="3">
        <v>51</v>
      </c>
      <c r="E247" s="3" t="s">
        <v>59</v>
      </c>
      <c r="F247" s="4">
        <v>445852</v>
      </c>
      <c r="G247" s="4">
        <v>174166</v>
      </c>
      <c r="H247" s="4">
        <v>40816</v>
      </c>
      <c r="I247" s="3" t="s">
        <v>33</v>
      </c>
      <c r="J247" s="3" t="s">
        <v>24</v>
      </c>
    </row>
    <row r="248" spans="1:10" x14ac:dyDescent="0.3">
      <c r="A248" s="3" t="s">
        <v>625</v>
      </c>
      <c r="B248" s="3" t="s">
        <v>1337</v>
      </c>
      <c r="C248" s="3" t="s">
        <v>58</v>
      </c>
      <c r="D248" s="3">
        <v>28</v>
      </c>
      <c r="E248" s="3" t="s">
        <v>59</v>
      </c>
      <c r="F248" s="4">
        <v>374533</v>
      </c>
      <c r="G248" s="4">
        <v>202684</v>
      </c>
      <c r="H248" s="4">
        <v>58850</v>
      </c>
      <c r="I248" s="3" t="s">
        <v>23</v>
      </c>
      <c r="J248" s="3" t="s">
        <v>24</v>
      </c>
    </row>
    <row r="249" spans="1:10" x14ac:dyDescent="0.3">
      <c r="A249" s="3" t="s">
        <v>628</v>
      </c>
      <c r="B249" s="3" t="s">
        <v>1338</v>
      </c>
      <c r="C249" s="3" t="s">
        <v>48</v>
      </c>
      <c r="D249" s="3">
        <v>25</v>
      </c>
      <c r="E249" s="3" t="s">
        <v>22</v>
      </c>
      <c r="F249" s="4">
        <v>252076.51219512196</v>
      </c>
      <c r="G249" s="4">
        <v>229631</v>
      </c>
      <c r="H249" s="4">
        <v>10023</v>
      </c>
      <c r="I249" s="3" t="s">
        <v>16</v>
      </c>
      <c r="J249" s="3" t="s">
        <v>17</v>
      </c>
    </row>
    <row r="250" spans="1:10" x14ac:dyDescent="0.3">
      <c r="A250" s="3" t="s">
        <v>630</v>
      </c>
      <c r="B250" s="3" t="s">
        <v>1339</v>
      </c>
      <c r="C250" s="3" t="s">
        <v>58</v>
      </c>
      <c r="D250" s="3">
        <v>39.868583162217661</v>
      </c>
      <c r="E250" s="3" t="s">
        <v>22</v>
      </c>
      <c r="F250" s="4">
        <v>64757</v>
      </c>
      <c r="G250" s="4">
        <v>137797</v>
      </c>
      <c r="H250" s="4">
        <v>81626</v>
      </c>
      <c r="I250" s="3" t="s">
        <v>23</v>
      </c>
      <c r="J250" s="3" t="s">
        <v>24</v>
      </c>
    </row>
    <row r="251" spans="1:10" x14ac:dyDescent="0.3">
      <c r="A251" s="3" t="s">
        <v>632</v>
      </c>
      <c r="B251" s="3" t="s">
        <v>1340</v>
      </c>
      <c r="C251" s="3" t="s">
        <v>14</v>
      </c>
      <c r="D251" s="3">
        <v>46</v>
      </c>
      <c r="E251" s="3" t="s">
        <v>22</v>
      </c>
      <c r="F251" s="4">
        <v>200473</v>
      </c>
      <c r="G251" s="4">
        <v>198367</v>
      </c>
      <c r="H251" s="4">
        <v>18240</v>
      </c>
      <c r="I251" s="3" t="s">
        <v>23</v>
      </c>
      <c r="J251" s="3" t="s">
        <v>17</v>
      </c>
    </row>
    <row r="252" spans="1:10" x14ac:dyDescent="0.3">
      <c r="A252" s="3" t="s">
        <v>634</v>
      </c>
      <c r="B252" s="3" t="s">
        <v>1341</v>
      </c>
      <c r="C252" s="3" t="s">
        <v>21</v>
      </c>
      <c r="D252" s="3">
        <v>29</v>
      </c>
      <c r="E252" s="3" t="s">
        <v>59</v>
      </c>
      <c r="F252" s="4">
        <v>133874</v>
      </c>
      <c r="G252" s="4">
        <v>230994</v>
      </c>
      <c r="H252" s="4">
        <v>60374</v>
      </c>
      <c r="I252" s="3" t="s">
        <v>23</v>
      </c>
      <c r="J252" s="3" t="s">
        <v>17</v>
      </c>
    </row>
    <row r="253" spans="1:10" x14ac:dyDescent="0.3">
      <c r="A253" s="3" t="s">
        <v>635</v>
      </c>
      <c r="B253" s="3" t="s">
        <v>1342</v>
      </c>
      <c r="C253" s="3" t="s">
        <v>48</v>
      </c>
      <c r="D253" s="3">
        <v>32</v>
      </c>
      <c r="E253" s="3" t="s">
        <v>22</v>
      </c>
      <c r="F253" s="4">
        <v>120800</v>
      </c>
      <c r="G253" s="4">
        <v>193983</v>
      </c>
      <c r="H253" s="4">
        <v>72555</v>
      </c>
      <c r="I253" s="3" t="s">
        <v>33</v>
      </c>
      <c r="J253" s="3" t="s">
        <v>24</v>
      </c>
    </row>
    <row r="254" spans="1:10" x14ac:dyDescent="0.3">
      <c r="A254" s="3" t="s">
        <v>637</v>
      </c>
      <c r="B254" s="3" t="s">
        <v>1343</v>
      </c>
      <c r="C254" s="3" t="s">
        <v>44</v>
      </c>
      <c r="D254" s="3">
        <v>21</v>
      </c>
      <c r="E254" s="3" t="s">
        <v>22</v>
      </c>
      <c r="F254" s="4">
        <v>24494</v>
      </c>
      <c r="G254" s="4">
        <v>113155</v>
      </c>
      <c r="H254" s="4">
        <v>10107</v>
      </c>
      <c r="I254" s="3" t="s">
        <v>23</v>
      </c>
      <c r="J254" s="3" t="s">
        <v>17</v>
      </c>
    </row>
    <row r="255" spans="1:10" x14ac:dyDescent="0.3">
      <c r="A255" s="3" t="s">
        <v>639</v>
      </c>
      <c r="B255" s="3" t="s">
        <v>1344</v>
      </c>
      <c r="C255" s="3" t="s">
        <v>14</v>
      </c>
      <c r="D255" s="3">
        <v>43</v>
      </c>
      <c r="E255" s="3" t="s">
        <v>59</v>
      </c>
      <c r="F255" s="4">
        <v>60001</v>
      </c>
      <c r="G255" s="4">
        <v>242413</v>
      </c>
      <c r="H255" s="4">
        <v>12218</v>
      </c>
      <c r="I255" s="3" t="s">
        <v>33</v>
      </c>
      <c r="J255" s="3" t="s">
        <v>17</v>
      </c>
    </row>
    <row r="256" spans="1:10" x14ac:dyDescent="0.3">
      <c r="A256" s="3" t="s">
        <v>642</v>
      </c>
      <c r="B256" s="3" t="s">
        <v>1345</v>
      </c>
      <c r="C256" s="3" t="s">
        <v>14</v>
      </c>
      <c r="D256" s="3">
        <v>44</v>
      </c>
      <c r="E256" s="3" t="s">
        <v>22</v>
      </c>
      <c r="F256" s="4">
        <v>3592</v>
      </c>
      <c r="G256" s="4">
        <v>100851</v>
      </c>
      <c r="H256" s="4">
        <v>62228</v>
      </c>
      <c r="I256" s="3" t="s">
        <v>16</v>
      </c>
      <c r="J256" s="3" t="s">
        <v>24</v>
      </c>
    </row>
    <row r="257" spans="1:10" x14ac:dyDescent="0.3">
      <c r="A257" s="3" t="s">
        <v>644</v>
      </c>
      <c r="B257" s="3" t="s">
        <v>1346</v>
      </c>
      <c r="C257" s="3" t="s">
        <v>21</v>
      </c>
      <c r="D257" s="3">
        <v>33</v>
      </c>
      <c r="E257" s="3" t="s">
        <v>59</v>
      </c>
      <c r="F257" s="4">
        <v>181826</v>
      </c>
      <c r="G257" s="4">
        <v>165665</v>
      </c>
      <c r="H257" s="4">
        <v>88736</v>
      </c>
      <c r="I257" s="3" t="s">
        <v>23</v>
      </c>
      <c r="J257" s="3" t="s">
        <v>17</v>
      </c>
    </row>
    <row r="258" spans="1:10" x14ac:dyDescent="0.3">
      <c r="A258" s="3" t="s">
        <v>646</v>
      </c>
      <c r="B258" s="3" t="s">
        <v>1347</v>
      </c>
      <c r="C258" s="3" t="s">
        <v>44</v>
      </c>
      <c r="D258" s="3">
        <v>54</v>
      </c>
      <c r="E258" s="3" t="s">
        <v>22</v>
      </c>
      <c r="F258" s="4">
        <v>394037</v>
      </c>
      <c r="G258" s="4">
        <v>3311</v>
      </c>
      <c r="H258" s="4">
        <v>135619</v>
      </c>
      <c r="I258" s="3" t="s">
        <v>23</v>
      </c>
      <c r="J258" s="3" t="s">
        <v>24</v>
      </c>
    </row>
    <row r="259" spans="1:10" x14ac:dyDescent="0.3">
      <c r="A259" s="3" t="s">
        <v>648</v>
      </c>
      <c r="B259" s="3" t="s">
        <v>1348</v>
      </c>
      <c r="C259" s="3" t="s">
        <v>58</v>
      </c>
      <c r="D259" s="3">
        <v>21</v>
      </c>
      <c r="E259" s="3" t="s">
        <v>59</v>
      </c>
      <c r="F259" s="4">
        <v>408755</v>
      </c>
      <c r="G259" s="4">
        <v>188114</v>
      </c>
      <c r="H259" s="4">
        <v>137618</v>
      </c>
      <c r="I259" s="3" t="s">
        <v>23</v>
      </c>
      <c r="J259" s="3" t="s">
        <v>24</v>
      </c>
    </row>
    <row r="260" spans="1:10" x14ac:dyDescent="0.3">
      <c r="A260" s="3" t="s">
        <v>650</v>
      </c>
      <c r="B260" s="3" t="s">
        <v>1349</v>
      </c>
      <c r="C260" s="3" t="s">
        <v>14</v>
      </c>
      <c r="D260" s="3">
        <v>31</v>
      </c>
      <c r="E260" s="3" t="s">
        <v>59</v>
      </c>
      <c r="F260" s="4">
        <v>108050</v>
      </c>
      <c r="G260" s="4">
        <v>184413.71428571429</v>
      </c>
      <c r="H260" s="4">
        <v>93221</v>
      </c>
      <c r="I260" s="3" t="s">
        <v>16</v>
      </c>
      <c r="J260" s="3" t="s">
        <v>24</v>
      </c>
    </row>
    <row r="261" spans="1:10" x14ac:dyDescent="0.3">
      <c r="A261" s="3" t="s">
        <v>652</v>
      </c>
      <c r="B261" s="3" t="s">
        <v>1350</v>
      </c>
      <c r="C261" s="3" t="s">
        <v>58</v>
      </c>
      <c r="D261" s="3">
        <v>39</v>
      </c>
      <c r="E261" s="3" t="s">
        <v>22</v>
      </c>
      <c r="F261" s="4">
        <v>100244</v>
      </c>
      <c r="G261" s="4">
        <v>145189.71428571429</v>
      </c>
      <c r="H261" s="4">
        <v>134279</v>
      </c>
      <c r="I261" s="3" t="s">
        <v>23</v>
      </c>
      <c r="J261" s="3" t="s">
        <v>17</v>
      </c>
    </row>
    <row r="262" spans="1:10" x14ac:dyDescent="0.3">
      <c r="A262" s="3" t="s">
        <v>654</v>
      </c>
      <c r="B262" s="3" t="s">
        <v>1351</v>
      </c>
      <c r="C262" s="3" t="s">
        <v>14</v>
      </c>
      <c r="D262" s="3">
        <v>29</v>
      </c>
      <c r="E262" s="3" t="s">
        <v>59</v>
      </c>
      <c r="F262" s="4">
        <v>61657</v>
      </c>
      <c r="G262" s="4">
        <v>221835</v>
      </c>
      <c r="H262" s="4">
        <v>117826</v>
      </c>
      <c r="I262" s="3" t="s">
        <v>23</v>
      </c>
      <c r="J262" s="3" t="s">
        <v>17</v>
      </c>
    </row>
    <row r="263" spans="1:10" x14ac:dyDescent="0.3">
      <c r="A263" s="3" t="s">
        <v>656</v>
      </c>
      <c r="B263" s="3" t="s">
        <v>1352</v>
      </c>
      <c r="C263" s="3" t="s">
        <v>44</v>
      </c>
      <c r="D263" s="3">
        <v>57</v>
      </c>
      <c r="E263" s="3" t="s">
        <v>59</v>
      </c>
      <c r="F263" s="4">
        <v>409796</v>
      </c>
      <c r="G263" s="4">
        <v>183156</v>
      </c>
      <c r="H263" s="4">
        <v>139715</v>
      </c>
      <c r="I263" s="3" t="s">
        <v>16</v>
      </c>
      <c r="J263" s="3" t="s">
        <v>17</v>
      </c>
    </row>
    <row r="264" spans="1:10" x14ac:dyDescent="0.3">
      <c r="A264" s="3" t="s">
        <v>657</v>
      </c>
      <c r="B264" s="3" t="s">
        <v>1353</v>
      </c>
      <c r="C264" s="3" t="s">
        <v>48</v>
      </c>
      <c r="D264" s="3">
        <v>54</v>
      </c>
      <c r="E264" s="3" t="s">
        <v>59</v>
      </c>
      <c r="F264" s="4">
        <v>301288</v>
      </c>
      <c r="G264" s="4">
        <v>246304</v>
      </c>
      <c r="H264" s="4">
        <v>87492</v>
      </c>
      <c r="I264" s="3" t="s">
        <v>16</v>
      </c>
      <c r="J264" s="3" t="s">
        <v>17</v>
      </c>
    </row>
    <row r="265" spans="1:10" x14ac:dyDescent="0.3">
      <c r="A265" s="3" t="s">
        <v>660</v>
      </c>
      <c r="B265" s="3" t="s">
        <v>1354</v>
      </c>
      <c r="C265" s="3" t="s">
        <v>44</v>
      </c>
      <c r="D265" s="3">
        <v>45</v>
      </c>
      <c r="E265" s="3" t="s">
        <v>59</v>
      </c>
      <c r="F265" s="4">
        <v>415236</v>
      </c>
      <c r="G265" s="4">
        <v>217909</v>
      </c>
      <c r="H265" s="4">
        <v>58843</v>
      </c>
      <c r="I265" s="3" t="s">
        <v>16</v>
      </c>
      <c r="J265" s="3" t="s">
        <v>17</v>
      </c>
    </row>
    <row r="266" spans="1:10" x14ac:dyDescent="0.3">
      <c r="A266" s="3" t="s">
        <v>662</v>
      </c>
      <c r="B266" s="3" t="s">
        <v>1355</v>
      </c>
      <c r="C266" s="3" t="s">
        <v>21</v>
      </c>
      <c r="D266" s="3">
        <v>28</v>
      </c>
      <c r="E266" s="3" t="s">
        <v>59</v>
      </c>
      <c r="F266" s="4">
        <v>145056</v>
      </c>
      <c r="G266" s="4">
        <v>138211</v>
      </c>
      <c r="H266" s="4">
        <v>105442</v>
      </c>
      <c r="I266" s="3" t="s">
        <v>16</v>
      </c>
      <c r="J266" s="3" t="s">
        <v>24</v>
      </c>
    </row>
    <row r="267" spans="1:10" x14ac:dyDescent="0.3">
      <c r="A267" s="3" t="s">
        <v>664</v>
      </c>
      <c r="B267" s="3" t="s">
        <v>1356</v>
      </c>
      <c r="C267" s="3" t="s">
        <v>58</v>
      </c>
      <c r="D267" s="3">
        <v>38</v>
      </c>
      <c r="E267" s="3" t="s">
        <v>59</v>
      </c>
      <c r="F267" s="4">
        <v>138652</v>
      </c>
      <c r="G267" s="4">
        <v>40718</v>
      </c>
      <c r="H267" s="4">
        <v>148569</v>
      </c>
      <c r="I267" s="3" t="s">
        <v>23</v>
      </c>
      <c r="J267" s="3" t="s">
        <v>17</v>
      </c>
    </row>
    <row r="268" spans="1:10" x14ac:dyDescent="0.3">
      <c r="A268" s="3" t="s">
        <v>666</v>
      </c>
      <c r="B268" s="3" t="s">
        <v>1357</v>
      </c>
      <c r="C268" s="3" t="s">
        <v>14</v>
      </c>
      <c r="D268" s="3">
        <v>59</v>
      </c>
      <c r="E268" s="3" t="s">
        <v>22</v>
      </c>
      <c r="F268" s="4">
        <v>317699</v>
      </c>
      <c r="G268" s="4">
        <v>142775</v>
      </c>
      <c r="H268" s="4">
        <v>14876</v>
      </c>
      <c r="I268" s="3" t="s">
        <v>33</v>
      </c>
      <c r="J268" s="3" t="s">
        <v>24</v>
      </c>
    </row>
    <row r="269" spans="1:10" x14ac:dyDescent="0.3">
      <c r="A269" s="3" t="s">
        <v>668</v>
      </c>
      <c r="B269" s="3" t="s">
        <v>1358</v>
      </c>
      <c r="C269" s="3" t="s">
        <v>14</v>
      </c>
      <c r="D269" s="3">
        <v>50</v>
      </c>
      <c r="E269" s="3" t="s">
        <v>1590</v>
      </c>
      <c r="F269" s="4">
        <v>439957</v>
      </c>
      <c r="G269" s="4">
        <v>142534</v>
      </c>
      <c r="H269" s="4">
        <v>97398</v>
      </c>
      <c r="I269" s="3" t="s">
        <v>33</v>
      </c>
      <c r="J269" s="3" t="s">
        <v>24</v>
      </c>
    </row>
    <row r="270" spans="1:10" x14ac:dyDescent="0.3">
      <c r="A270" s="3" t="s">
        <v>670</v>
      </c>
      <c r="B270" s="3" t="s">
        <v>1359</v>
      </c>
      <c r="C270" s="3" t="s">
        <v>14</v>
      </c>
      <c r="D270" s="3">
        <v>37</v>
      </c>
      <c r="E270" s="3" t="s">
        <v>22</v>
      </c>
      <c r="F270" s="4">
        <v>413130</v>
      </c>
      <c r="G270" s="4">
        <v>264306</v>
      </c>
      <c r="H270" s="4">
        <v>39586</v>
      </c>
      <c r="I270" s="3" t="s">
        <v>23</v>
      </c>
      <c r="J270" s="3" t="s">
        <v>17</v>
      </c>
    </row>
    <row r="271" spans="1:10" x14ac:dyDescent="0.3">
      <c r="A271" s="3" t="s">
        <v>671</v>
      </c>
      <c r="B271" s="3" t="s">
        <v>1360</v>
      </c>
      <c r="C271" s="3" t="s">
        <v>44</v>
      </c>
      <c r="D271" s="3">
        <v>39.868583162217661</v>
      </c>
      <c r="E271" s="3" t="s">
        <v>22</v>
      </c>
      <c r="F271" s="4">
        <v>351783</v>
      </c>
      <c r="G271" s="4">
        <v>9680</v>
      </c>
      <c r="H271" s="4">
        <v>140390</v>
      </c>
      <c r="I271" s="3" t="s">
        <v>23</v>
      </c>
      <c r="J271" s="3" t="s">
        <v>24</v>
      </c>
    </row>
    <row r="272" spans="1:10" x14ac:dyDescent="0.3">
      <c r="A272" s="3" t="s">
        <v>673</v>
      </c>
      <c r="B272" s="3" t="s">
        <v>1361</v>
      </c>
      <c r="C272" s="3" t="s">
        <v>21</v>
      </c>
      <c r="D272" s="3">
        <v>43</v>
      </c>
      <c r="E272" s="3" t="s">
        <v>59</v>
      </c>
      <c r="F272" s="4">
        <v>102373</v>
      </c>
      <c r="G272" s="4">
        <v>154006.86666666667</v>
      </c>
      <c r="H272" s="4">
        <v>149188</v>
      </c>
      <c r="I272" s="3" t="s">
        <v>23</v>
      </c>
      <c r="J272" s="3" t="s">
        <v>24</v>
      </c>
    </row>
    <row r="273" spans="1:10" x14ac:dyDescent="0.3">
      <c r="A273" s="3" t="s">
        <v>675</v>
      </c>
      <c r="B273" s="3" t="s">
        <v>1362</v>
      </c>
      <c r="C273" s="3" t="s">
        <v>21</v>
      </c>
      <c r="D273" s="3">
        <v>23</v>
      </c>
      <c r="E273" s="3" t="s">
        <v>1590</v>
      </c>
      <c r="F273" s="4">
        <v>287024</v>
      </c>
      <c r="G273" s="4">
        <v>126404</v>
      </c>
      <c r="H273" s="4">
        <v>89780</v>
      </c>
      <c r="I273" s="3" t="s">
        <v>16</v>
      </c>
      <c r="J273" s="3" t="s">
        <v>17</v>
      </c>
    </row>
    <row r="274" spans="1:10" x14ac:dyDescent="0.3">
      <c r="A274" s="3" t="s">
        <v>676</v>
      </c>
      <c r="B274" s="3" t="s">
        <v>1363</v>
      </c>
      <c r="C274" s="3" t="s">
        <v>44</v>
      </c>
      <c r="D274" s="3">
        <v>22</v>
      </c>
      <c r="E274" s="3" t="s">
        <v>59</v>
      </c>
      <c r="F274" s="4">
        <v>172316</v>
      </c>
      <c r="G274" s="4">
        <v>44055</v>
      </c>
      <c r="H274" s="4">
        <v>42063</v>
      </c>
      <c r="I274" s="3" t="s">
        <v>16</v>
      </c>
      <c r="J274" s="3" t="s">
        <v>24</v>
      </c>
    </row>
    <row r="275" spans="1:10" x14ac:dyDescent="0.3">
      <c r="A275" s="3" t="s">
        <v>677</v>
      </c>
      <c r="B275" s="3" t="s">
        <v>1364</v>
      </c>
      <c r="C275" s="3" t="s">
        <v>48</v>
      </c>
      <c r="D275" s="3">
        <v>56</v>
      </c>
      <c r="E275" s="3" t="s">
        <v>22</v>
      </c>
      <c r="F275" s="4">
        <v>438601</v>
      </c>
      <c r="G275" s="4">
        <v>150939</v>
      </c>
      <c r="H275" s="4">
        <v>21949</v>
      </c>
      <c r="I275" s="3" t="s">
        <v>16</v>
      </c>
      <c r="J275" s="3" t="s">
        <v>17</v>
      </c>
    </row>
    <row r="276" spans="1:10" x14ac:dyDescent="0.3">
      <c r="A276" s="3" t="s">
        <v>678</v>
      </c>
      <c r="B276" s="3" t="s">
        <v>1365</v>
      </c>
      <c r="C276" s="3" t="s">
        <v>14</v>
      </c>
      <c r="D276" s="3">
        <v>55</v>
      </c>
      <c r="E276" s="3" t="s">
        <v>59</v>
      </c>
      <c r="F276" s="4">
        <v>324788</v>
      </c>
      <c r="G276" s="4">
        <v>147091.55555555556</v>
      </c>
      <c r="H276" s="4">
        <v>93677</v>
      </c>
      <c r="I276" s="3" t="s">
        <v>23</v>
      </c>
      <c r="J276" s="3" t="s">
        <v>17</v>
      </c>
    </row>
    <row r="277" spans="1:10" x14ac:dyDescent="0.3">
      <c r="A277" s="3" t="s">
        <v>680</v>
      </c>
      <c r="B277" s="3" t="s">
        <v>1366</v>
      </c>
      <c r="C277" s="3" t="s">
        <v>58</v>
      </c>
      <c r="D277" s="3">
        <v>29</v>
      </c>
      <c r="E277" s="3" t="s">
        <v>22</v>
      </c>
      <c r="F277" s="4">
        <v>175719</v>
      </c>
      <c r="G277" s="4">
        <v>221918.58333333334</v>
      </c>
      <c r="H277" s="4">
        <v>60758</v>
      </c>
      <c r="I277" s="3" t="s">
        <v>23</v>
      </c>
      <c r="J277" s="3" t="s">
        <v>24</v>
      </c>
    </row>
    <row r="278" spans="1:10" x14ac:dyDescent="0.3">
      <c r="A278" s="3" t="s">
        <v>683</v>
      </c>
      <c r="B278" s="3" t="s">
        <v>1367</v>
      </c>
      <c r="C278" s="3" t="s">
        <v>21</v>
      </c>
      <c r="D278" s="3">
        <v>36</v>
      </c>
      <c r="E278" s="3" t="s">
        <v>22</v>
      </c>
      <c r="F278" s="4">
        <v>309930</v>
      </c>
      <c r="G278" s="4">
        <v>7258</v>
      </c>
      <c r="H278" s="4">
        <v>63114</v>
      </c>
      <c r="I278" s="3" t="s">
        <v>23</v>
      </c>
      <c r="J278" s="3" t="s">
        <v>24</v>
      </c>
    </row>
    <row r="279" spans="1:10" x14ac:dyDescent="0.3">
      <c r="A279" s="3" t="s">
        <v>686</v>
      </c>
      <c r="B279" s="3" t="s">
        <v>1368</v>
      </c>
      <c r="C279" s="3" t="s">
        <v>44</v>
      </c>
      <c r="D279" s="3">
        <v>25</v>
      </c>
      <c r="E279" s="3" t="s">
        <v>22</v>
      </c>
      <c r="F279" s="4">
        <v>147276</v>
      </c>
      <c r="G279" s="4">
        <v>236753</v>
      </c>
      <c r="H279" s="4">
        <v>73692</v>
      </c>
      <c r="I279" s="3" t="s">
        <v>16</v>
      </c>
      <c r="J279" s="3" t="s">
        <v>17</v>
      </c>
    </row>
    <row r="280" spans="1:10" x14ac:dyDescent="0.3">
      <c r="A280" s="3" t="s">
        <v>688</v>
      </c>
      <c r="B280" s="3" t="s">
        <v>1369</v>
      </c>
      <c r="C280" s="3" t="s">
        <v>58</v>
      </c>
      <c r="D280" s="3">
        <v>24</v>
      </c>
      <c r="E280" s="3" t="s">
        <v>22</v>
      </c>
      <c r="F280" s="4">
        <v>240261</v>
      </c>
      <c r="G280" s="4">
        <v>138634.69230769231</v>
      </c>
      <c r="H280" s="4">
        <v>116997</v>
      </c>
      <c r="I280" s="3" t="s">
        <v>23</v>
      </c>
      <c r="J280" s="3" t="s">
        <v>24</v>
      </c>
    </row>
    <row r="281" spans="1:10" x14ac:dyDescent="0.3">
      <c r="A281" s="3" t="s">
        <v>691</v>
      </c>
      <c r="B281" s="3" t="s">
        <v>1370</v>
      </c>
      <c r="C281" s="3" t="s">
        <v>14</v>
      </c>
      <c r="D281" s="3">
        <v>46</v>
      </c>
      <c r="E281" s="3" t="s">
        <v>59</v>
      </c>
      <c r="F281" s="4">
        <v>252076.51219512196</v>
      </c>
      <c r="G281" s="4">
        <v>120478</v>
      </c>
      <c r="H281" s="4">
        <v>69931</v>
      </c>
      <c r="I281" s="3" t="s">
        <v>23</v>
      </c>
      <c r="J281" s="3" t="s">
        <v>24</v>
      </c>
    </row>
    <row r="282" spans="1:10" x14ac:dyDescent="0.3">
      <c r="A282" s="3" t="s">
        <v>692</v>
      </c>
      <c r="B282" s="3" t="s">
        <v>1371</v>
      </c>
      <c r="C282" s="3" t="s">
        <v>14</v>
      </c>
      <c r="D282" s="3">
        <v>49</v>
      </c>
      <c r="E282" s="3" t="s">
        <v>22</v>
      </c>
      <c r="F282" s="4">
        <v>375152</v>
      </c>
      <c r="G282" s="4">
        <v>52031</v>
      </c>
      <c r="H282" s="4">
        <v>37560</v>
      </c>
      <c r="I282" s="3" t="s">
        <v>23</v>
      </c>
      <c r="J282" s="3" t="s">
        <v>24</v>
      </c>
    </row>
    <row r="283" spans="1:10" x14ac:dyDescent="0.3">
      <c r="A283" s="3" t="s">
        <v>693</v>
      </c>
      <c r="B283" s="3" t="s">
        <v>1372</v>
      </c>
      <c r="C283" s="3" t="s">
        <v>44</v>
      </c>
      <c r="D283" s="3">
        <v>33</v>
      </c>
      <c r="E283" s="3" t="s">
        <v>59</v>
      </c>
      <c r="F283" s="4">
        <v>151168</v>
      </c>
      <c r="G283" s="4">
        <v>156800.92307692306</v>
      </c>
      <c r="H283" s="4">
        <v>44654</v>
      </c>
      <c r="I283" s="3" t="s">
        <v>33</v>
      </c>
      <c r="J283" s="3" t="s">
        <v>24</v>
      </c>
    </row>
    <row r="284" spans="1:10" x14ac:dyDescent="0.3">
      <c r="A284" s="3" t="s">
        <v>694</v>
      </c>
      <c r="B284" s="3" t="s">
        <v>1373</v>
      </c>
      <c r="C284" s="3" t="s">
        <v>21</v>
      </c>
      <c r="D284" s="3">
        <v>53</v>
      </c>
      <c r="E284" s="3" t="s">
        <v>22</v>
      </c>
      <c r="F284" s="4">
        <v>217784</v>
      </c>
      <c r="G284" s="4">
        <v>134964.83333333334</v>
      </c>
      <c r="H284" s="4">
        <v>42272</v>
      </c>
      <c r="I284" s="3" t="s">
        <v>16</v>
      </c>
      <c r="J284" s="3" t="s">
        <v>24</v>
      </c>
    </row>
    <row r="285" spans="1:10" x14ac:dyDescent="0.3">
      <c r="A285" s="3" t="s">
        <v>695</v>
      </c>
      <c r="B285" s="3" t="s">
        <v>1374</v>
      </c>
      <c r="C285" s="3" t="s">
        <v>44</v>
      </c>
      <c r="D285" s="3">
        <v>56</v>
      </c>
      <c r="E285" s="3" t="s">
        <v>59</v>
      </c>
      <c r="F285" s="4">
        <v>252076.51219512196</v>
      </c>
      <c r="G285" s="4">
        <v>75127</v>
      </c>
      <c r="H285" s="4">
        <v>22604</v>
      </c>
      <c r="I285" s="3" t="s">
        <v>16</v>
      </c>
      <c r="J285" s="3" t="s">
        <v>24</v>
      </c>
    </row>
    <row r="286" spans="1:10" x14ac:dyDescent="0.3">
      <c r="A286" s="3" t="s">
        <v>697</v>
      </c>
      <c r="B286" s="3" t="s">
        <v>1375</v>
      </c>
      <c r="C286" s="3" t="s">
        <v>21</v>
      </c>
      <c r="D286" s="3">
        <v>57</v>
      </c>
      <c r="E286" s="3" t="s">
        <v>59</v>
      </c>
      <c r="F286" s="4">
        <v>185466</v>
      </c>
      <c r="G286" s="4">
        <v>152416.23076923078</v>
      </c>
      <c r="H286" s="4">
        <v>11672</v>
      </c>
      <c r="I286" s="3" t="s">
        <v>23</v>
      </c>
      <c r="J286" s="3" t="s">
        <v>17</v>
      </c>
    </row>
    <row r="287" spans="1:10" x14ac:dyDescent="0.3">
      <c r="A287" s="3" t="s">
        <v>699</v>
      </c>
      <c r="B287" s="3" t="s">
        <v>1376</v>
      </c>
      <c r="C287" s="3" t="s">
        <v>14</v>
      </c>
      <c r="D287" s="3">
        <v>57</v>
      </c>
      <c r="E287" s="3" t="s">
        <v>59</v>
      </c>
      <c r="F287" s="4">
        <v>248370</v>
      </c>
      <c r="G287" s="4">
        <v>152416.23076923078</v>
      </c>
      <c r="H287" s="4">
        <v>85731</v>
      </c>
      <c r="I287" s="3" t="s">
        <v>16</v>
      </c>
      <c r="J287" s="3" t="s">
        <v>24</v>
      </c>
    </row>
    <row r="288" spans="1:10" x14ac:dyDescent="0.3">
      <c r="A288" s="3" t="s">
        <v>701</v>
      </c>
      <c r="B288" s="3" t="s">
        <v>1377</v>
      </c>
      <c r="C288" s="3" t="s">
        <v>21</v>
      </c>
      <c r="D288" s="3">
        <v>28</v>
      </c>
      <c r="E288" s="3" t="s">
        <v>22</v>
      </c>
      <c r="F288" s="4">
        <v>252076.51219512196</v>
      </c>
      <c r="G288" s="4">
        <v>13072</v>
      </c>
      <c r="H288" s="4">
        <v>85152</v>
      </c>
      <c r="I288" s="3" t="s">
        <v>33</v>
      </c>
      <c r="J288" s="3" t="s">
        <v>17</v>
      </c>
    </row>
    <row r="289" spans="1:10" x14ac:dyDescent="0.3">
      <c r="A289" s="3" t="s">
        <v>702</v>
      </c>
      <c r="B289" s="3" t="s">
        <v>1378</v>
      </c>
      <c r="C289" s="3" t="s">
        <v>58</v>
      </c>
      <c r="D289" s="3">
        <v>24</v>
      </c>
      <c r="E289" s="3" t="s">
        <v>22</v>
      </c>
      <c r="F289" s="4">
        <v>312844</v>
      </c>
      <c r="G289" s="4">
        <v>199971</v>
      </c>
      <c r="H289" s="4">
        <v>118458</v>
      </c>
      <c r="I289" s="3" t="s">
        <v>33</v>
      </c>
      <c r="J289" s="3" t="s">
        <v>17</v>
      </c>
    </row>
    <row r="290" spans="1:10" x14ac:dyDescent="0.3">
      <c r="A290" s="3" t="s">
        <v>704</v>
      </c>
      <c r="B290" s="3" t="s">
        <v>1379</v>
      </c>
      <c r="C290" s="3" t="s">
        <v>48</v>
      </c>
      <c r="D290" s="3">
        <v>49</v>
      </c>
      <c r="E290" s="3" t="s">
        <v>59</v>
      </c>
      <c r="F290" s="4">
        <v>376953</v>
      </c>
      <c r="G290" s="4">
        <v>94341</v>
      </c>
      <c r="H290" s="4">
        <v>17170</v>
      </c>
      <c r="I290" s="3" t="s">
        <v>16</v>
      </c>
      <c r="J290" s="3" t="s">
        <v>24</v>
      </c>
    </row>
    <row r="291" spans="1:10" x14ac:dyDescent="0.3">
      <c r="A291" s="3" t="s">
        <v>706</v>
      </c>
      <c r="B291" s="3" t="s">
        <v>1380</v>
      </c>
      <c r="C291" s="3" t="s">
        <v>48</v>
      </c>
      <c r="D291" s="3">
        <v>47</v>
      </c>
      <c r="E291" s="3" t="s">
        <v>22</v>
      </c>
      <c r="F291" s="4">
        <v>453324</v>
      </c>
      <c r="G291" s="4">
        <v>230328</v>
      </c>
      <c r="H291" s="4">
        <v>142772</v>
      </c>
      <c r="I291" s="3" t="s">
        <v>23</v>
      </c>
      <c r="J291" s="3" t="s">
        <v>24</v>
      </c>
    </row>
    <row r="292" spans="1:10" x14ac:dyDescent="0.3">
      <c r="A292" s="3" t="s">
        <v>708</v>
      </c>
      <c r="B292" s="3" t="s">
        <v>1381</v>
      </c>
      <c r="C292" s="3" t="s">
        <v>44</v>
      </c>
      <c r="D292" s="3">
        <v>56</v>
      </c>
      <c r="E292" s="3" t="s">
        <v>22</v>
      </c>
      <c r="F292" s="4">
        <v>305353</v>
      </c>
      <c r="G292" s="4">
        <v>44907</v>
      </c>
      <c r="H292" s="4">
        <v>66591</v>
      </c>
      <c r="I292" s="3" t="s">
        <v>16</v>
      </c>
      <c r="J292" s="3" t="s">
        <v>17</v>
      </c>
    </row>
    <row r="293" spans="1:10" x14ac:dyDescent="0.3">
      <c r="A293" s="3" t="s">
        <v>710</v>
      </c>
      <c r="B293" s="3" t="s">
        <v>1382</v>
      </c>
      <c r="C293" s="3" t="s">
        <v>48</v>
      </c>
      <c r="D293" s="3">
        <v>25</v>
      </c>
      <c r="E293" s="3" t="s">
        <v>1590</v>
      </c>
      <c r="F293" s="4">
        <v>36302</v>
      </c>
      <c r="G293" s="4">
        <v>118953</v>
      </c>
      <c r="H293" s="4">
        <v>23718</v>
      </c>
      <c r="I293" s="3" t="s">
        <v>23</v>
      </c>
      <c r="J293" s="3" t="s">
        <v>17</v>
      </c>
    </row>
    <row r="294" spans="1:10" x14ac:dyDescent="0.3">
      <c r="A294" s="3" t="s">
        <v>711</v>
      </c>
      <c r="B294" s="3" t="s">
        <v>1383</v>
      </c>
      <c r="C294" s="3" t="s">
        <v>21</v>
      </c>
      <c r="D294" s="3">
        <v>25</v>
      </c>
      <c r="E294" s="3" t="s">
        <v>59</v>
      </c>
      <c r="F294" s="4">
        <v>490291</v>
      </c>
      <c r="G294" s="4">
        <v>199503</v>
      </c>
      <c r="H294" s="4">
        <v>93843</v>
      </c>
      <c r="I294" s="3" t="s">
        <v>16</v>
      </c>
      <c r="J294" s="3" t="s">
        <v>24</v>
      </c>
    </row>
    <row r="295" spans="1:10" x14ac:dyDescent="0.3">
      <c r="A295" s="3" t="s">
        <v>712</v>
      </c>
      <c r="B295" s="3" t="s">
        <v>1384</v>
      </c>
      <c r="C295" s="3" t="s">
        <v>14</v>
      </c>
      <c r="D295" s="3">
        <v>21</v>
      </c>
      <c r="E295" s="3" t="s">
        <v>22</v>
      </c>
      <c r="F295" s="4">
        <v>458301</v>
      </c>
      <c r="G295" s="4">
        <v>3017</v>
      </c>
      <c r="H295" s="4">
        <v>69782</v>
      </c>
      <c r="I295" s="3" t="s">
        <v>16</v>
      </c>
      <c r="J295" s="3" t="s">
        <v>17</v>
      </c>
    </row>
    <row r="296" spans="1:10" x14ac:dyDescent="0.3">
      <c r="A296" s="3" t="s">
        <v>715</v>
      </c>
      <c r="B296" s="3" t="s">
        <v>1385</v>
      </c>
      <c r="C296" s="3" t="s">
        <v>58</v>
      </c>
      <c r="D296" s="3">
        <v>31</v>
      </c>
      <c r="E296" s="3" t="s">
        <v>22</v>
      </c>
      <c r="F296" s="4">
        <v>165946</v>
      </c>
      <c r="G296" s="4">
        <v>246730</v>
      </c>
      <c r="H296" s="4">
        <v>87788</v>
      </c>
      <c r="I296" s="3" t="s">
        <v>23</v>
      </c>
      <c r="J296" s="3" t="s">
        <v>17</v>
      </c>
    </row>
    <row r="297" spans="1:10" x14ac:dyDescent="0.3">
      <c r="A297" s="3" t="s">
        <v>717</v>
      </c>
      <c r="B297" s="3" t="s">
        <v>1386</v>
      </c>
      <c r="C297" s="3" t="s">
        <v>21</v>
      </c>
      <c r="D297" s="3">
        <v>31</v>
      </c>
      <c r="E297" s="3" t="s">
        <v>22</v>
      </c>
      <c r="F297" s="4">
        <v>222749</v>
      </c>
      <c r="G297" s="4">
        <v>52686</v>
      </c>
      <c r="H297" s="4">
        <v>132427</v>
      </c>
      <c r="I297" s="3" t="s">
        <v>16</v>
      </c>
      <c r="J297" s="3" t="s">
        <v>24</v>
      </c>
    </row>
    <row r="298" spans="1:10" x14ac:dyDescent="0.3">
      <c r="A298" s="3" t="s">
        <v>718</v>
      </c>
      <c r="B298" s="3" t="s">
        <v>1387</v>
      </c>
      <c r="C298" s="3" t="s">
        <v>21</v>
      </c>
      <c r="D298" s="3">
        <v>49</v>
      </c>
      <c r="E298" s="3" t="s">
        <v>59</v>
      </c>
      <c r="F298" s="4">
        <v>345725</v>
      </c>
      <c r="G298" s="4">
        <v>112694</v>
      </c>
      <c r="H298" s="4">
        <v>28135</v>
      </c>
      <c r="I298" s="3" t="s">
        <v>33</v>
      </c>
      <c r="J298" s="3" t="s">
        <v>24</v>
      </c>
    </row>
    <row r="299" spans="1:10" x14ac:dyDescent="0.3">
      <c r="A299" s="3" t="s">
        <v>720</v>
      </c>
      <c r="B299" s="3" t="s">
        <v>1388</v>
      </c>
      <c r="C299" s="3" t="s">
        <v>58</v>
      </c>
      <c r="D299" s="3">
        <v>48</v>
      </c>
      <c r="E299" s="3" t="s">
        <v>22</v>
      </c>
      <c r="F299" s="4">
        <v>252076.51219512196</v>
      </c>
      <c r="G299" s="4">
        <v>263971</v>
      </c>
      <c r="H299" s="4">
        <v>28575</v>
      </c>
      <c r="I299" s="3" t="s">
        <v>33</v>
      </c>
      <c r="J299" s="3" t="s">
        <v>17</v>
      </c>
    </row>
    <row r="300" spans="1:10" x14ac:dyDescent="0.3">
      <c r="A300" s="3" t="s">
        <v>721</v>
      </c>
      <c r="B300" s="3" t="s">
        <v>1389</v>
      </c>
      <c r="C300" s="3" t="s">
        <v>14</v>
      </c>
      <c r="D300" s="3">
        <v>46</v>
      </c>
      <c r="E300" s="3" t="s">
        <v>59</v>
      </c>
      <c r="F300" s="4">
        <v>183901</v>
      </c>
      <c r="G300" s="4">
        <v>177542</v>
      </c>
      <c r="H300" s="4">
        <v>95568</v>
      </c>
      <c r="I300" s="3" t="s">
        <v>23</v>
      </c>
      <c r="J300" s="3" t="s">
        <v>24</v>
      </c>
    </row>
    <row r="301" spans="1:10" x14ac:dyDescent="0.3">
      <c r="A301" s="3" t="s">
        <v>723</v>
      </c>
      <c r="B301" s="3" t="s">
        <v>1390</v>
      </c>
      <c r="C301" s="3" t="s">
        <v>48</v>
      </c>
      <c r="D301" s="3">
        <v>53</v>
      </c>
      <c r="E301" s="3" t="s">
        <v>22</v>
      </c>
      <c r="F301" s="4">
        <v>403540</v>
      </c>
      <c r="G301" s="4">
        <v>204089</v>
      </c>
      <c r="H301" s="4">
        <v>129090</v>
      </c>
      <c r="I301" s="3" t="s">
        <v>23</v>
      </c>
      <c r="J301" s="3" t="s">
        <v>17</v>
      </c>
    </row>
    <row r="302" spans="1:10" x14ac:dyDescent="0.3">
      <c r="A302" s="3" t="s">
        <v>726</v>
      </c>
      <c r="B302" s="3" t="s">
        <v>1391</v>
      </c>
      <c r="C302" s="3" t="s">
        <v>44</v>
      </c>
      <c r="D302" s="3">
        <v>38</v>
      </c>
      <c r="E302" s="3" t="s">
        <v>59</v>
      </c>
      <c r="F302" s="4">
        <v>252076.51219512196</v>
      </c>
      <c r="G302" s="4">
        <v>135637</v>
      </c>
      <c r="H302" s="4">
        <v>70852</v>
      </c>
      <c r="I302" s="3" t="s">
        <v>33</v>
      </c>
      <c r="J302" s="3" t="s">
        <v>17</v>
      </c>
    </row>
    <row r="303" spans="1:10" x14ac:dyDescent="0.3">
      <c r="A303" s="3" t="s">
        <v>728</v>
      </c>
      <c r="B303" s="3" t="s">
        <v>1392</v>
      </c>
      <c r="C303" s="3" t="s">
        <v>44</v>
      </c>
      <c r="D303" s="3">
        <v>50</v>
      </c>
      <c r="E303" s="3" t="s">
        <v>1590</v>
      </c>
      <c r="F303" s="4">
        <v>398645</v>
      </c>
      <c r="G303" s="4">
        <v>8577</v>
      </c>
      <c r="H303" s="4">
        <v>23013</v>
      </c>
      <c r="I303" s="3" t="s">
        <v>23</v>
      </c>
      <c r="J303" s="3" t="s">
        <v>17</v>
      </c>
    </row>
    <row r="304" spans="1:10" x14ac:dyDescent="0.3">
      <c r="A304" s="3" t="s">
        <v>730</v>
      </c>
      <c r="B304" s="3" t="s">
        <v>1393</v>
      </c>
      <c r="C304" s="3" t="s">
        <v>21</v>
      </c>
      <c r="D304" s="3">
        <v>30</v>
      </c>
      <c r="E304" s="3" t="s">
        <v>1590</v>
      </c>
      <c r="F304" s="4">
        <v>306261</v>
      </c>
      <c r="G304" s="4">
        <v>269798</v>
      </c>
      <c r="H304" s="4">
        <v>80635</v>
      </c>
      <c r="I304" s="3" t="s">
        <v>23</v>
      </c>
      <c r="J304" s="3" t="s">
        <v>24</v>
      </c>
    </row>
    <row r="305" spans="1:10" x14ac:dyDescent="0.3">
      <c r="A305" s="3" t="s">
        <v>731</v>
      </c>
      <c r="B305" s="3" t="s">
        <v>1394</v>
      </c>
      <c r="C305" s="3" t="s">
        <v>48</v>
      </c>
      <c r="D305" s="3">
        <v>57</v>
      </c>
      <c r="E305" s="3" t="s">
        <v>22</v>
      </c>
      <c r="F305" s="4">
        <v>272810</v>
      </c>
      <c r="G305" s="4">
        <v>224390</v>
      </c>
      <c r="H305" s="4">
        <v>54434</v>
      </c>
      <c r="I305" s="3" t="s">
        <v>23</v>
      </c>
      <c r="J305" s="3" t="s">
        <v>17</v>
      </c>
    </row>
    <row r="306" spans="1:10" x14ac:dyDescent="0.3">
      <c r="A306" s="3" t="s">
        <v>733</v>
      </c>
      <c r="B306" s="3" t="s">
        <v>1395</v>
      </c>
      <c r="C306" s="3" t="s">
        <v>48</v>
      </c>
      <c r="D306" s="3">
        <v>44</v>
      </c>
      <c r="E306" s="3" t="s">
        <v>59</v>
      </c>
      <c r="F306" s="4">
        <v>312807</v>
      </c>
      <c r="G306" s="4">
        <v>192625</v>
      </c>
      <c r="H306" s="4">
        <v>82424</v>
      </c>
      <c r="I306" s="3" t="s">
        <v>33</v>
      </c>
      <c r="J306" s="3" t="s">
        <v>17</v>
      </c>
    </row>
    <row r="307" spans="1:10" x14ac:dyDescent="0.3">
      <c r="A307" s="3" t="s">
        <v>735</v>
      </c>
      <c r="B307" s="3" t="s">
        <v>1396</v>
      </c>
      <c r="C307" s="3" t="s">
        <v>48</v>
      </c>
      <c r="D307" s="3">
        <v>27</v>
      </c>
      <c r="E307" s="3" t="s">
        <v>22</v>
      </c>
      <c r="F307" s="4">
        <v>251648</v>
      </c>
      <c r="G307" s="4">
        <v>103172</v>
      </c>
      <c r="H307" s="4">
        <v>26129</v>
      </c>
      <c r="I307" s="3" t="s">
        <v>33</v>
      </c>
      <c r="J307" s="3" t="s">
        <v>24</v>
      </c>
    </row>
    <row r="308" spans="1:10" x14ac:dyDescent="0.3">
      <c r="A308" s="3" t="s">
        <v>736</v>
      </c>
      <c r="B308" s="3" t="s">
        <v>1397</v>
      </c>
      <c r="C308" s="3" t="s">
        <v>58</v>
      </c>
      <c r="D308" s="3">
        <v>27</v>
      </c>
      <c r="E308" s="3" t="s">
        <v>59</v>
      </c>
      <c r="F308" s="4">
        <v>67974</v>
      </c>
      <c r="G308" s="4">
        <v>87618</v>
      </c>
      <c r="H308" s="4">
        <v>44357</v>
      </c>
      <c r="I308" s="3" t="s">
        <v>23</v>
      </c>
      <c r="J308" s="3" t="s">
        <v>17</v>
      </c>
    </row>
    <row r="309" spans="1:10" x14ac:dyDescent="0.3">
      <c r="A309" s="3" t="s">
        <v>739</v>
      </c>
      <c r="B309" s="3" t="s">
        <v>1398</v>
      </c>
      <c r="C309" s="3" t="s">
        <v>48</v>
      </c>
      <c r="D309" s="3">
        <v>22</v>
      </c>
      <c r="E309" s="3" t="s">
        <v>59</v>
      </c>
      <c r="F309" s="4">
        <v>485485</v>
      </c>
      <c r="G309" s="4">
        <v>18784</v>
      </c>
      <c r="H309" s="4">
        <v>93813</v>
      </c>
      <c r="I309" s="3" t="s">
        <v>16</v>
      </c>
      <c r="J309" s="3" t="s">
        <v>24</v>
      </c>
    </row>
    <row r="310" spans="1:10" x14ac:dyDescent="0.3">
      <c r="A310" s="3" t="s">
        <v>741</v>
      </c>
      <c r="B310" s="3" t="s">
        <v>1399</v>
      </c>
      <c r="C310" s="3" t="s">
        <v>58</v>
      </c>
      <c r="D310" s="3">
        <v>54</v>
      </c>
      <c r="E310" s="3" t="s">
        <v>59</v>
      </c>
      <c r="F310" s="4">
        <v>109958</v>
      </c>
      <c r="G310" s="4">
        <v>107125</v>
      </c>
      <c r="H310" s="4">
        <v>127145</v>
      </c>
      <c r="I310" s="3" t="s">
        <v>16</v>
      </c>
      <c r="J310" s="3" t="s">
        <v>24</v>
      </c>
    </row>
    <row r="311" spans="1:10" x14ac:dyDescent="0.3">
      <c r="A311" s="3" t="s">
        <v>744</v>
      </c>
      <c r="B311" s="3" t="s">
        <v>1400</v>
      </c>
      <c r="C311" s="3" t="s">
        <v>14</v>
      </c>
      <c r="D311" s="3">
        <v>43</v>
      </c>
      <c r="E311" s="3" t="s">
        <v>1590</v>
      </c>
      <c r="F311" s="4">
        <v>278282</v>
      </c>
      <c r="G311" s="4">
        <v>29959</v>
      </c>
      <c r="H311" s="4">
        <v>142328</v>
      </c>
      <c r="I311" s="3" t="s">
        <v>16</v>
      </c>
      <c r="J311" s="3" t="s">
        <v>17</v>
      </c>
    </row>
    <row r="312" spans="1:10" x14ac:dyDescent="0.3">
      <c r="A312" s="3" t="s">
        <v>746</v>
      </c>
      <c r="B312" s="3" t="s">
        <v>1401</v>
      </c>
      <c r="C312" s="3" t="s">
        <v>14</v>
      </c>
      <c r="D312" s="3">
        <v>50</v>
      </c>
      <c r="E312" s="3" t="s">
        <v>59</v>
      </c>
      <c r="F312" s="4">
        <v>355771</v>
      </c>
      <c r="G312" s="4">
        <v>142039</v>
      </c>
      <c r="H312" s="4">
        <v>41859</v>
      </c>
      <c r="I312" s="3" t="s">
        <v>33</v>
      </c>
      <c r="J312" s="3" t="s">
        <v>17</v>
      </c>
    </row>
    <row r="313" spans="1:10" x14ac:dyDescent="0.3">
      <c r="A313" s="3" t="s">
        <v>747</v>
      </c>
      <c r="B313" s="3" t="s">
        <v>1402</v>
      </c>
      <c r="C313" s="3" t="s">
        <v>48</v>
      </c>
      <c r="D313" s="3">
        <v>57</v>
      </c>
      <c r="E313" s="3" t="s">
        <v>1590</v>
      </c>
      <c r="F313" s="4">
        <v>45970</v>
      </c>
      <c r="G313" s="4">
        <v>128766</v>
      </c>
      <c r="H313" s="4">
        <v>125001</v>
      </c>
      <c r="I313" s="3" t="s">
        <v>33</v>
      </c>
      <c r="J313" s="3" t="s">
        <v>17</v>
      </c>
    </row>
    <row r="314" spans="1:10" x14ac:dyDescent="0.3">
      <c r="A314" s="3" t="s">
        <v>749</v>
      </c>
      <c r="B314" s="3" t="s">
        <v>1403</v>
      </c>
      <c r="C314" s="3" t="s">
        <v>44</v>
      </c>
      <c r="D314" s="3">
        <v>48</v>
      </c>
      <c r="E314" s="3" t="s">
        <v>1590</v>
      </c>
      <c r="F314" s="4">
        <v>252076.51219512196</v>
      </c>
      <c r="G314" s="4">
        <v>206990</v>
      </c>
      <c r="H314" s="4">
        <v>54111</v>
      </c>
      <c r="I314" s="3" t="s">
        <v>23</v>
      </c>
      <c r="J314" s="3" t="s">
        <v>24</v>
      </c>
    </row>
    <row r="315" spans="1:10" x14ac:dyDescent="0.3">
      <c r="A315" s="3" t="s">
        <v>752</v>
      </c>
      <c r="B315" s="3" t="s">
        <v>1404</v>
      </c>
      <c r="C315" s="3" t="s">
        <v>21</v>
      </c>
      <c r="D315" s="3">
        <v>53</v>
      </c>
      <c r="E315" s="3" t="s">
        <v>59</v>
      </c>
      <c r="F315" s="4">
        <v>157820</v>
      </c>
      <c r="G315" s="4">
        <v>64024</v>
      </c>
      <c r="H315" s="4">
        <v>87134</v>
      </c>
      <c r="I315" s="3" t="s">
        <v>33</v>
      </c>
      <c r="J315" s="3" t="s">
        <v>17</v>
      </c>
    </row>
    <row r="316" spans="1:10" x14ac:dyDescent="0.3">
      <c r="A316" s="3" t="s">
        <v>754</v>
      </c>
      <c r="B316" s="3" t="s">
        <v>1405</v>
      </c>
      <c r="C316" s="3" t="s">
        <v>44</v>
      </c>
      <c r="D316" s="3">
        <v>26</v>
      </c>
      <c r="E316" s="3" t="s">
        <v>1590</v>
      </c>
      <c r="F316" s="4">
        <v>176152</v>
      </c>
      <c r="G316" s="4">
        <v>295988</v>
      </c>
      <c r="H316" s="4">
        <v>99815</v>
      </c>
      <c r="I316" s="3" t="s">
        <v>16</v>
      </c>
      <c r="J316" s="3" t="s">
        <v>17</v>
      </c>
    </row>
    <row r="317" spans="1:10" x14ac:dyDescent="0.3">
      <c r="A317" s="3" t="s">
        <v>757</v>
      </c>
      <c r="B317" s="3" t="s">
        <v>1406</v>
      </c>
      <c r="C317" s="3" t="s">
        <v>21</v>
      </c>
      <c r="D317" s="3">
        <v>58</v>
      </c>
      <c r="E317" s="3" t="s">
        <v>22</v>
      </c>
      <c r="F317" s="4">
        <v>287850</v>
      </c>
      <c r="G317" s="4">
        <v>126707</v>
      </c>
      <c r="H317" s="4">
        <v>35430</v>
      </c>
      <c r="I317" s="3" t="s">
        <v>16</v>
      </c>
      <c r="J317" s="3" t="s">
        <v>17</v>
      </c>
    </row>
    <row r="318" spans="1:10" x14ac:dyDescent="0.3">
      <c r="A318" s="3" t="s">
        <v>759</v>
      </c>
      <c r="B318" s="3" t="s">
        <v>1407</v>
      </c>
      <c r="C318" s="3" t="s">
        <v>58</v>
      </c>
      <c r="D318" s="3">
        <v>50</v>
      </c>
      <c r="E318" s="3" t="s">
        <v>22</v>
      </c>
      <c r="F318" s="4">
        <v>252076.51219512196</v>
      </c>
      <c r="G318" s="4">
        <v>165647</v>
      </c>
      <c r="H318" s="4">
        <v>128389</v>
      </c>
      <c r="I318" s="3" t="s">
        <v>16</v>
      </c>
      <c r="J318" s="3" t="s">
        <v>24</v>
      </c>
    </row>
    <row r="319" spans="1:10" x14ac:dyDescent="0.3">
      <c r="A319" s="3" t="s">
        <v>762</v>
      </c>
      <c r="B319" s="3" t="s">
        <v>1408</v>
      </c>
      <c r="C319" s="3" t="s">
        <v>58</v>
      </c>
      <c r="D319" s="3">
        <v>50</v>
      </c>
      <c r="E319" s="3" t="s">
        <v>59</v>
      </c>
      <c r="F319" s="4">
        <v>77356</v>
      </c>
      <c r="G319" s="4">
        <v>224656</v>
      </c>
      <c r="H319" s="4">
        <v>39771</v>
      </c>
      <c r="I319" s="3" t="s">
        <v>23</v>
      </c>
      <c r="J319" s="3" t="s">
        <v>24</v>
      </c>
    </row>
    <row r="320" spans="1:10" x14ac:dyDescent="0.3">
      <c r="A320" s="3" t="s">
        <v>764</v>
      </c>
      <c r="B320" s="3" t="s">
        <v>1409</v>
      </c>
      <c r="C320" s="3" t="s">
        <v>48</v>
      </c>
      <c r="D320" s="3">
        <v>53</v>
      </c>
      <c r="E320" s="3" t="s">
        <v>22</v>
      </c>
      <c r="F320" s="4">
        <v>115703</v>
      </c>
      <c r="G320" s="4">
        <v>134964.83333333334</v>
      </c>
      <c r="H320" s="4">
        <v>33155</v>
      </c>
      <c r="I320" s="3" t="s">
        <v>33</v>
      </c>
      <c r="J320" s="3" t="s">
        <v>24</v>
      </c>
    </row>
    <row r="321" spans="1:10" x14ac:dyDescent="0.3">
      <c r="A321" s="3" t="s">
        <v>766</v>
      </c>
      <c r="B321" s="3" t="s">
        <v>1410</v>
      </c>
      <c r="C321" s="3" t="s">
        <v>21</v>
      </c>
      <c r="D321" s="3">
        <v>28</v>
      </c>
      <c r="E321" s="3" t="s">
        <v>59</v>
      </c>
      <c r="F321" s="4">
        <v>119331</v>
      </c>
      <c r="G321" s="4">
        <v>53706</v>
      </c>
      <c r="H321" s="4">
        <v>112694</v>
      </c>
      <c r="I321" s="3" t="s">
        <v>16</v>
      </c>
      <c r="J321" s="3" t="s">
        <v>24</v>
      </c>
    </row>
    <row r="322" spans="1:10" x14ac:dyDescent="0.3">
      <c r="A322" s="3" t="s">
        <v>768</v>
      </c>
      <c r="B322" s="3" t="s">
        <v>1411</v>
      </c>
      <c r="C322" s="3" t="s">
        <v>14</v>
      </c>
      <c r="D322" s="3">
        <v>36</v>
      </c>
      <c r="E322" s="3" t="s">
        <v>22</v>
      </c>
      <c r="F322" s="4">
        <v>257047</v>
      </c>
      <c r="G322" s="4">
        <v>64877</v>
      </c>
      <c r="H322" s="4">
        <v>35938</v>
      </c>
      <c r="I322" s="3" t="s">
        <v>23</v>
      </c>
      <c r="J322" s="3" t="s">
        <v>24</v>
      </c>
    </row>
    <row r="323" spans="1:10" x14ac:dyDescent="0.3">
      <c r="A323" s="3" t="s">
        <v>769</v>
      </c>
      <c r="B323" s="3" t="s">
        <v>1412</v>
      </c>
      <c r="C323" s="3" t="s">
        <v>21</v>
      </c>
      <c r="D323" s="3">
        <v>28</v>
      </c>
      <c r="E323" s="3" t="s">
        <v>59</v>
      </c>
      <c r="F323" s="4">
        <v>212599</v>
      </c>
      <c r="G323" s="4">
        <v>223891</v>
      </c>
      <c r="H323" s="4">
        <v>107628</v>
      </c>
      <c r="I323" s="3" t="s">
        <v>33</v>
      </c>
      <c r="J323" s="3" t="s">
        <v>17</v>
      </c>
    </row>
    <row r="324" spans="1:10" x14ac:dyDescent="0.3">
      <c r="A324" s="3" t="s">
        <v>771</v>
      </c>
      <c r="B324" s="3" t="s">
        <v>1413</v>
      </c>
      <c r="C324" s="3" t="s">
        <v>44</v>
      </c>
      <c r="D324" s="3">
        <v>39</v>
      </c>
      <c r="E324" s="3" t="s">
        <v>1590</v>
      </c>
      <c r="F324" s="4">
        <v>298336</v>
      </c>
      <c r="G324" s="4">
        <v>266155</v>
      </c>
      <c r="H324" s="4">
        <v>132740</v>
      </c>
      <c r="I324" s="3" t="s">
        <v>16</v>
      </c>
      <c r="J324" s="3" t="s">
        <v>17</v>
      </c>
    </row>
    <row r="325" spans="1:10" x14ac:dyDescent="0.3">
      <c r="A325" s="3" t="s">
        <v>772</v>
      </c>
      <c r="B325" s="3" t="s">
        <v>1414</v>
      </c>
      <c r="C325" s="3" t="s">
        <v>14</v>
      </c>
      <c r="D325" s="3">
        <v>41</v>
      </c>
      <c r="E325" s="3" t="s">
        <v>22</v>
      </c>
      <c r="F325" s="4">
        <v>297902</v>
      </c>
      <c r="G325" s="4">
        <v>118874</v>
      </c>
      <c r="H325" s="4">
        <v>125811</v>
      </c>
      <c r="I325" s="3" t="s">
        <v>23</v>
      </c>
      <c r="J325" s="3" t="s">
        <v>24</v>
      </c>
    </row>
    <row r="326" spans="1:10" x14ac:dyDescent="0.3">
      <c r="A326" s="3" t="s">
        <v>775</v>
      </c>
      <c r="B326" s="3" t="s">
        <v>1415</v>
      </c>
      <c r="C326" s="3" t="s">
        <v>14</v>
      </c>
      <c r="D326" s="3">
        <v>33</v>
      </c>
      <c r="E326" s="3" t="s">
        <v>22</v>
      </c>
      <c r="F326" s="4">
        <v>404473</v>
      </c>
      <c r="G326" s="4">
        <v>114030</v>
      </c>
      <c r="H326" s="4">
        <v>134260</v>
      </c>
      <c r="I326" s="3" t="s">
        <v>16</v>
      </c>
      <c r="J326" s="3" t="s">
        <v>17</v>
      </c>
    </row>
    <row r="327" spans="1:10" x14ac:dyDescent="0.3">
      <c r="A327" s="3" t="s">
        <v>776</v>
      </c>
      <c r="B327" s="3" t="s">
        <v>1416</v>
      </c>
      <c r="C327" s="3" t="s">
        <v>58</v>
      </c>
      <c r="D327" s="3">
        <v>26</v>
      </c>
      <c r="E327" s="3" t="s">
        <v>59</v>
      </c>
      <c r="F327" s="4">
        <v>22755</v>
      </c>
      <c r="G327" s="4">
        <v>44105</v>
      </c>
      <c r="H327" s="4">
        <v>119698</v>
      </c>
      <c r="I327" s="3" t="s">
        <v>23</v>
      </c>
      <c r="J327" s="3" t="s">
        <v>17</v>
      </c>
    </row>
    <row r="328" spans="1:10" x14ac:dyDescent="0.3">
      <c r="A328" s="3" t="s">
        <v>777</v>
      </c>
      <c r="B328" s="3" t="s">
        <v>1417</v>
      </c>
      <c r="C328" s="3" t="s">
        <v>14</v>
      </c>
      <c r="D328" s="3">
        <v>50</v>
      </c>
      <c r="E328" s="3" t="s">
        <v>22</v>
      </c>
      <c r="F328" s="4">
        <v>252076.51219512196</v>
      </c>
      <c r="G328" s="4">
        <v>5313</v>
      </c>
      <c r="H328" s="4">
        <v>73994</v>
      </c>
      <c r="I328" s="3" t="s">
        <v>33</v>
      </c>
      <c r="J328" s="3" t="s">
        <v>17</v>
      </c>
    </row>
    <row r="329" spans="1:10" x14ac:dyDescent="0.3">
      <c r="A329" s="3" t="s">
        <v>779</v>
      </c>
      <c r="B329" s="3" t="s">
        <v>1418</v>
      </c>
      <c r="C329" s="3" t="s">
        <v>21</v>
      </c>
      <c r="D329" s="3">
        <v>28</v>
      </c>
      <c r="E329" s="3" t="s">
        <v>22</v>
      </c>
      <c r="F329" s="4">
        <v>252076.51219512196</v>
      </c>
      <c r="G329" s="4">
        <v>42716</v>
      </c>
      <c r="H329" s="4">
        <v>124454</v>
      </c>
      <c r="I329" s="3" t="s">
        <v>23</v>
      </c>
      <c r="J329" s="3" t="s">
        <v>17</v>
      </c>
    </row>
    <row r="330" spans="1:10" x14ac:dyDescent="0.3">
      <c r="A330" s="3" t="s">
        <v>780</v>
      </c>
      <c r="B330" s="3" t="s">
        <v>1419</v>
      </c>
      <c r="C330" s="3" t="s">
        <v>21</v>
      </c>
      <c r="D330" s="3">
        <v>27</v>
      </c>
      <c r="E330" s="3" t="s">
        <v>1590</v>
      </c>
      <c r="F330" s="4">
        <v>290084</v>
      </c>
      <c r="G330" s="4">
        <v>46043</v>
      </c>
      <c r="H330" s="4">
        <v>41016</v>
      </c>
      <c r="I330" s="3" t="s">
        <v>16</v>
      </c>
      <c r="J330" s="3" t="s">
        <v>24</v>
      </c>
    </row>
    <row r="331" spans="1:10" x14ac:dyDescent="0.3">
      <c r="A331" s="3" t="s">
        <v>781</v>
      </c>
      <c r="B331" s="3" t="s">
        <v>1420</v>
      </c>
      <c r="C331" s="3" t="s">
        <v>14</v>
      </c>
      <c r="D331" s="3">
        <v>46</v>
      </c>
      <c r="E331" s="3" t="s">
        <v>22</v>
      </c>
      <c r="F331" s="4">
        <v>170467</v>
      </c>
      <c r="G331" s="4">
        <v>135825</v>
      </c>
      <c r="H331" s="4">
        <v>109158</v>
      </c>
      <c r="I331" s="3" t="s">
        <v>33</v>
      </c>
      <c r="J331" s="3" t="s">
        <v>24</v>
      </c>
    </row>
    <row r="332" spans="1:10" x14ac:dyDescent="0.3">
      <c r="A332" s="3" t="s">
        <v>784</v>
      </c>
      <c r="B332" s="3" t="s">
        <v>1421</v>
      </c>
      <c r="C332" s="3" t="s">
        <v>48</v>
      </c>
      <c r="D332" s="3">
        <v>49</v>
      </c>
      <c r="E332" s="3" t="s">
        <v>1590</v>
      </c>
      <c r="F332" s="4">
        <v>204803</v>
      </c>
      <c r="G332" s="4">
        <v>32528</v>
      </c>
      <c r="H332" s="4">
        <v>63634</v>
      </c>
      <c r="I332" s="3" t="s">
        <v>23</v>
      </c>
      <c r="J332" s="3" t="s">
        <v>24</v>
      </c>
    </row>
    <row r="333" spans="1:10" x14ac:dyDescent="0.3">
      <c r="A333" s="3" t="s">
        <v>785</v>
      </c>
      <c r="B333" s="3" t="s">
        <v>1422</v>
      </c>
      <c r="C333" s="3" t="s">
        <v>14</v>
      </c>
      <c r="D333" s="3">
        <v>25</v>
      </c>
      <c r="E333" s="3" t="s">
        <v>59</v>
      </c>
      <c r="F333" s="4">
        <v>80008</v>
      </c>
      <c r="G333" s="4">
        <v>277616</v>
      </c>
      <c r="H333" s="4">
        <v>147411</v>
      </c>
      <c r="I333" s="3" t="s">
        <v>16</v>
      </c>
      <c r="J333" s="3" t="s">
        <v>24</v>
      </c>
    </row>
    <row r="334" spans="1:10" x14ac:dyDescent="0.3">
      <c r="A334" s="3" t="s">
        <v>787</v>
      </c>
      <c r="B334" s="3" t="s">
        <v>1423</v>
      </c>
      <c r="C334" s="3" t="s">
        <v>44</v>
      </c>
      <c r="D334" s="3">
        <v>49</v>
      </c>
      <c r="E334" s="3" t="s">
        <v>59</v>
      </c>
      <c r="F334" s="4">
        <v>343663</v>
      </c>
      <c r="G334" s="4">
        <v>214206</v>
      </c>
      <c r="H334" s="4">
        <v>98557</v>
      </c>
      <c r="I334" s="3" t="s">
        <v>23</v>
      </c>
      <c r="J334" s="3" t="s">
        <v>17</v>
      </c>
    </row>
    <row r="335" spans="1:10" x14ac:dyDescent="0.3">
      <c r="A335" s="3" t="s">
        <v>790</v>
      </c>
      <c r="B335" s="3" t="s">
        <v>1424</v>
      </c>
      <c r="C335" s="3" t="s">
        <v>48</v>
      </c>
      <c r="D335" s="3">
        <v>35</v>
      </c>
      <c r="E335" s="3" t="s">
        <v>59</v>
      </c>
      <c r="F335" s="4">
        <v>9875</v>
      </c>
      <c r="G335" s="4">
        <v>172030</v>
      </c>
      <c r="H335" s="4">
        <v>52296</v>
      </c>
      <c r="I335" s="3" t="s">
        <v>16</v>
      </c>
      <c r="J335" s="3" t="s">
        <v>17</v>
      </c>
    </row>
    <row r="336" spans="1:10" x14ac:dyDescent="0.3">
      <c r="A336" s="3" t="s">
        <v>792</v>
      </c>
      <c r="B336" s="3" t="s">
        <v>1425</v>
      </c>
      <c r="C336" s="3" t="s">
        <v>44</v>
      </c>
      <c r="D336" s="3">
        <v>21</v>
      </c>
      <c r="E336" s="3" t="s">
        <v>59</v>
      </c>
      <c r="F336" s="4">
        <v>252076.51219512196</v>
      </c>
      <c r="G336" s="4">
        <v>175040</v>
      </c>
      <c r="H336" s="4">
        <v>85623</v>
      </c>
      <c r="I336" s="3" t="s">
        <v>16</v>
      </c>
      <c r="J336" s="3" t="s">
        <v>17</v>
      </c>
    </row>
    <row r="337" spans="1:10" x14ac:dyDescent="0.3">
      <c r="A337" s="3" t="s">
        <v>795</v>
      </c>
      <c r="B337" s="3" t="s">
        <v>1426</v>
      </c>
      <c r="C337" s="3" t="s">
        <v>44</v>
      </c>
      <c r="D337" s="3">
        <v>45</v>
      </c>
      <c r="E337" s="3" t="s">
        <v>59</v>
      </c>
      <c r="F337" s="4">
        <v>498449</v>
      </c>
      <c r="G337" s="4">
        <v>8916</v>
      </c>
      <c r="H337" s="4">
        <v>16561</v>
      </c>
      <c r="I337" s="3" t="s">
        <v>23</v>
      </c>
      <c r="J337" s="3" t="s">
        <v>24</v>
      </c>
    </row>
    <row r="338" spans="1:10" x14ac:dyDescent="0.3">
      <c r="A338" s="3" t="s">
        <v>797</v>
      </c>
      <c r="B338" s="3" t="s">
        <v>1427</v>
      </c>
      <c r="C338" s="3" t="s">
        <v>58</v>
      </c>
      <c r="D338" s="3">
        <v>32</v>
      </c>
      <c r="E338" s="3" t="s">
        <v>59</v>
      </c>
      <c r="F338" s="4">
        <v>252076.51219512196</v>
      </c>
      <c r="G338" s="4">
        <v>17147</v>
      </c>
      <c r="H338" s="4">
        <v>126727</v>
      </c>
      <c r="I338" s="3" t="s">
        <v>16</v>
      </c>
      <c r="J338" s="3" t="s">
        <v>17</v>
      </c>
    </row>
    <row r="339" spans="1:10" x14ac:dyDescent="0.3">
      <c r="A339" s="3" t="s">
        <v>799</v>
      </c>
      <c r="B339" s="3" t="s">
        <v>1428</v>
      </c>
      <c r="C339" s="3" t="s">
        <v>44</v>
      </c>
      <c r="D339" s="3">
        <v>31</v>
      </c>
      <c r="E339" s="3" t="s">
        <v>59</v>
      </c>
      <c r="F339" s="4">
        <v>4732</v>
      </c>
      <c r="G339" s="4">
        <v>240273</v>
      </c>
      <c r="H339" s="4">
        <v>104443</v>
      </c>
      <c r="I339" s="3" t="s">
        <v>23</v>
      </c>
      <c r="J339" s="3" t="s">
        <v>17</v>
      </c>
    </row>
    <row r="340" spans="1:10" x14ac:dyDescent="0.3">
      <c r="A340" s="3" t="s">
        <v>802</v>
      </c>
      <c r="B340" s="3" t="s">
        <v>1429</v>
      </c>
      <c r="C340" s="3" t="s">
        <v>14</v>
      </c>
      <c r="D340" s="3">
        <v>24</v>
      </c>
      <c r="E340" s="3" t="s">
        <v>59</v>
      </c>
      <c r="F340" s="4">
        <v>8059</v>
      </c>
      <c r="G340" s="4">
        <v>225947</v>
      </c>
      <c r="H340" s="4">
        <v>49929</v>
      </c>
      <c r="I340" s="3" t="s">
        <v>33</v>
      </c>
      <c r="J340" s="3" t="s">
        <v>17</v>
      </c>
    </row>
    <row r="341" spans="1:10" x14ac:dyDescent="0.3">
      <c r="A341" s="3" t="s">
        <v>804</v>
      </c>
      <c r="B341" s="3" t="s">
        <v>1430</v>
      </c>
      <c r="C341" s="3" t="s">
        <v>14</v>
      </c>
      <c r="D341" s="3">
        <v>59</v>
      </c>
      <c r="E341" s="3" t="s">
        <v>59</v>
      </c>
      <c r="F341" s="4">
        <v>172506</v>
      </c>
      <c r="G341" s="4">
        <v>16556</v>
      </c>
      <c r="H341" s="4">
        <v>122532</v>
      </c>
      <c r="I341" s="3" t="s">
        <v>16</v>
      </c>
      <c r="J341" s="3" t="s">
        <v>17</v>
      </c>
    </row>
    <row r="342" spans="1:10" x14ac:dyDescent="0.3">
      <c r="A342" s="3" t="s">
        <v>806</v>
      </c>
      <c r="B342" s="3" t="s">
        <v>1431</v>
      </c>
      <c r="C342" s="3" t="s">
        <v>44</v>
      </c>
      <c r="D342" s="3">
        <v>24</v>
      </c>
      <c r="E342" s="3" t="s">
        <v>59</v>
      </c>
      <c r="F342" s="4">
        <v>378948</v>
      </c>
      <c r="G342" s="4">
        <v>170870</v>
      </c>
      <c r="H342" s="4">
        <v>61035</v>
      </c>
      <c r="I342" s="3" t="s">
        <v>33</v>
      </c>
      <c r="J342" s="3" t="s">
        <v>17</v>
      </c>
    </row>
    <row r="343" spans="1:10" x14ac:dyDescent="0.3">
      <c r="A343" s="3" t="s">
        <v>808</v>
      </c>
      <c r="B343" s="3" t="s">
        <v>1432</v>
      </c>
      <c r="C343" s="3" t="s">
        <v>48</v>
      </c>
      <c r="D343" s="3">
        <v>49</v>
      </c>
      <c r="E343" s="3" t="s">
        <v>1590</v>
      </c>
      <c r="F343" s="4">
        <v>41359</v>
      </c>
      <c r="G343" s="4">
        <v>85198</v>
      </c>
      <c r="H343" s="4">
        <v>70505</v>
      </c>
      <c r="I343" s="3" t="s">
        <v>16</v>
      </c>
      <c r="J343" s="3" t="s">
        <v>17</v>
      </c>
    </row>
    <row r="344" spans="1:10" x14ac:dyDescent="0.3">
      <c r="A344" s="3" t="s">
        <v>810</v>
      </c>
      <c r="B344" s="3" t="s">
        <v>1433</v>
      </c>
      <c r="C344" s="3" t="s">
        <v>44</v>
      </c>
      <c r="D344" s="3">
        <v>59</v>
      </c>
      <c r="E344" s="3" t="s">
        <v>59</v>
      </c>
      <c r="F344" s="4">
        <v>375375</v>
      </c>
      <c r="G344" s="4">
        <v>174756</v>
      </c>
      <c r="H344" s="4">
        <v>81729</v>
      </c>
      <c r="I344" s="3" t="s">
        <v>23</v>
      </c>
      <c r="J344" s="3" t="s">
        <v>17</v>
      </c>
    </row>
    <row r="345" spans="1:10" x14ac:dyDescent="0.3">
      <c r="A345" s="3" t="s">
        <v>812</v>
      </c>
      <c r="B345" s="3" t="s">
        <v>1434</v>
      </c>
      <c r="C345" s="3" t="s">
        <v>58</v>
      </c>
      <c r="D345" s="3">
        <v>50</v>
      </c>
      <c r="E345" s="3" t="s">
        <v>22</v>
      </c>
      <c r="F345" s="4">
        <v>336760</v>
      </c>
      <c r="G345" s="4">
        <v>126805</v>
      </c>
      <c r="H345" s="4">
        <v>32209</v>
      </c>
      <c r="I345" s="3" t="s">
        <v>23</v>
      </c>
      <c r="J345" s="3" t="s">
        <v>17</v>
      </c>
    </row>
    <row r="346" spans="1:10" x14ac:dyDescent="0.3">
      <c r="A346" s="3" t="s">
        <v>813</v>
      </c>
      <c r="B346" s="3" t="s">
        <v>1435</v>
      </c>
      <c r="C346" s="3" t="s">
        <v>58</v>
      </c>
      <c r="D346" s="3">
        <v>55</v>
      </c>
      <c r="E346" s="3" t="s">
        <v>59</v>
      </c>
      <c r="F346" s="4">
        <v>320319</v>
      </c>
      <c r="G346" s="4">
        <v>40592</v>
      </c>
      <c r="H346" s="4">
        <v>115131</v>
      </c>
      <c r="I346" s="3" t="s">
        <v>33</v>
      </c>
      <c r="J346" s="3" t="s">
        <v>17</v>
      </c>
    </row>
    <row r="347" spans="1:10" x14ac:dyDescent="0.3">
      <c r="A347" s="3" t="s">
        <v>814</v>
      </c>
      <c r="B347" s="3" t="s">
        <v>1436</v>
      </c>
      <c r="C347" s="3" t="s">
        <v>48</v>
      </c>
      <c r="D347" s="3">
        <v>56</v>
      </c>
      <c r="E347" s="3" t="s">
        <v>59</v>
      </c>
      <c r="F347" s="4">
        <v>62048</v>
      </c>
      <c r="G347" s="4">
        <v>240071</v>
      </c>
      <c r="H347" s="4">
        <v>16656</v>
      </c>
      <c r="I347" s="3" t="s">
        <v>33</v>
      </c>
      <c r="J347" s="3" t="s">
        <v>24</v>
      </c>
    </row>
    <row r="348" spans="1:10" x14ac:dyDescent="0.3">
      <c r="A348" s="3" t="s">
        <v>817</v>
      </c>
      <c r="B348" s="3" t="s">
        <v>1437</v>
      </c>
      <c r="C348" s="3" t="s">
        <v>58</v>
      </c>
      <c r="D348" s="3">
        <v>34</v>
      </c>
      <c r="E348" s="3" t="s">
        <v>59</v>
      </c>
      <c r="F348" s="4">
        <v>131492</v>
      </c>
      <c r="G348" s="4">
        <v>202927</v>
      </c>
      <c r="H348" s="4">
        <v>60858</v>
      </c>
      <c r="I348" s="3" t="s">
        <v>16</v>
      </c>
      <c r="J348" s="3" t="s">
        <v>24</v>
      </c>
    </row>
    <row r="349" spans="1:10" x14ac:dyDescent="0.3">
      <c r="A349" s="3" t="s">
        <v>820</v>
      </c>
      <c r="B349" s="3" t="s">
        <v>1438</v>
      </c>
      <c r="C349" s="3" t="s">
        <v>21</v>
      </c>
      <c r="D349" s="3">
        <v>52</v>
      </c>
      <c r="E349" s="3" t="s">
        <v>1590</v>
      </c>
      <c r="F349" s="4">
        <v>219681</v>
      </c>
      <c r="G349" s="4">
        <v>217472</v>
      </c>
      <c r="H349" s="4">
        <v>147457</v>
      </c>
      <c r="I349" s="3" t="s">
        <v>16</v>
      </c>
      <c r="J349" s="3" t="s">
        <v>24</v>
      </c>
    </row>
    <row r="350" spans="1:10" x14ac:dyDescent="0.3">
      <c r="A350" s="3" t="s">
        <v>822</v>
      </c>
      <c r="B350" s="3" t="s">
        <v>1439</v>
      </c>
      <c r="C350" s="3" t="s">
        <v>21</v>
      </c>
      <c r="D350" s="3">
        <v>33</v>
      </c>
      <c r="E350" s="3" t="s">
        <v>22</v>
      </c>
      <c r="F350" s="4">
        <v>174752</v>
      </c>
      <c r="G350" s="4">
        <v>53222</v>
      </c>
      <c r="H350" s="4">
        <v>75892</v>
      </c>
      <c r="I350" s="3" t="s">
        <v>33</v>
      </c>
      <c r="J350" s="3" t="s">
        <v>17</v>
      </c>
    </row>
    <row r="351" spans="1:10" x14ac:dyDescent="0.3">
      <c r="A351" s="3" t="s">
        <v>824</v>
      </c>
      <c r="B351" s="3" t="s">
        <v>1440</v>
      </c>
      <c r="C351" s="3" t="s">
        <v>21</v>
      </c>
      <c r="D351" s="3">
        <v>37</v>
      </c>
      <c r="E351" s="3" t="s">
        <v>22</v>
      </c>
      <c r="F351" s="4">
        <v>192495</v>
      </c>
      <c r="G351" s="4">
        <v>48295</v>
      </c>
      <c r="H351" s="4">
        <v>106034</v>
      </c>
      <c r="I351" s="3" t="s">
        <v>33</v>
      </c>
      <c r="J351" s="3" t="s">
        <v>17</v>
      </c>
    </row>
    <row r="352" spans="1:10" x14ac:dyDescent="0.3">
      <c r="A352" s="3" t="s">
        <v>827</v>
      </c>
      <c r="B352" s="3" t="s">
        <v>1441</v>
      </c>
      <c r="C352" s="3" t="s">
        <v>21</v>
      </c>
      <c r="D352" s="3">
        <v>55</v>
      </c>
      <c r="E352" s="3" t="s">
        <v>59</v>
      </c>
      <c r="F352" s="4">
        <v>336350</v>
      </c>
      <c r="G352" s="4">
        <v>18182</v>
      </c>
      <c r="H352" s="4">
        <v>113090</v>
      </c>
      <c r="I352" s="3" t="s">
        <v>23</v>
      </c>
      <c r="J352" s="3" t="s">
        <v>24</v>
      </c>
    </row>
    <row r="353" spans="1:10" x14ac:dyDescent="0.3">
      <c r="A353" s="3" t="s">
        <v>828</v>
      </c>
      <c r="B353" s="3" t="s">
        <v>1442</v>
      </c>
      <c r="C353" s="3" t="s">
        <v>44</v>
      </c>
      <c r="D353" s="3">
        <v>30</v>
      </c>
      <c r="E353" s="3" t="s">
        <v>22</v>
      </c>
      <c r="F353" s="4">
        <v>232334</v>
      </c>
      <c r="G353" s="4">
        <v>192846</v>
      </c>
      <c r="H353" s="4">
        <v>107785</v>
      </c>
      <c r="I353" s="3" t="s">
        <v>16</v>
      </c>
      <c r="J353" s="3" t="s">
        <v>24</v>
      </c>
    </row>
    <row r="354" spans="1:10" x14ac:dyDescent="0.3">
      <c r="A354" s="3" t="s">
        <v>831</v>
      </c>
      <c r="B354" s="3" t="s">
        <v>1443</v>
      </c>
      <c r="C354" s="3" t="s">
        <v>44</v>
      </c>
      <c r="D354" s="3">
        <v>49</v>
      </c>
      <c r="E354" s="3" t="s">
        <v>22</v>
      </c>
      <c r="F354" s="4">
        <v>321848</v>
      </c>
      <c r="G354" s="4">
        <v>278204</v>
      </c>
      <c r="H354" s="4">
        <v>51310</v>
      </c>
      <c r="I354" s="3" t="s">
        <v>16</v>
      </c>
      <c r="J354" s="3" t="s">
        <v>17</v>
      </c>
    </row>
    <row r="355" spans="1:10" x14ac:dyDescent="0.3">
      <c r="A355" s="3" t="s">
        <v>833</v>
      </c>
      <c r="B355" s="3" t="s">
        <v>1444</v>
      </c>
      <c r="C355" s="3" t="s">
        <v>14</v>
      </c>
      <c r="D355" s="3">
        <v>58</v>
      </c>
      <c r="E355" s="3" t="s">
        <v>1590</v>
      </c>
      <c r="F355" s="4">
        <v>436251</v>
      </c>
      <c r="G355" s="4">
        <v>266972</v>
      </c>
      <c r="H355" s="4">
        <v>75556</v>
      </c>
      <c r="I355" s="3" t="s">
        <v>23</v>
      </c>
      <c r="J355" s="3" t="s">
        <v>24</v>
      </c>
    </row>
    <row r="356" spans="1:10" x14ac:dyDescent="0.3">
      <c r="A356" s="3" t="s">
        <v>835</v>
      </c>
      <c r="B356" s="3" t="s">
        <v>1445</v>
      </c>
      <c r="C356" s="3" t="s">
        <v>44</v>
      </c>
      <c r="D356" s="3">
        <v>35</v>
      </c>
      <c r="E356" s="3" t="s">
        <v>22</v>
      </c>
      <c r="F356" s="4">
        <v>214107</v>
      </c>
      <c r="G356" s="4">
        <v>149662</v>
      </c>
      <c r="H356" s="4">
        <v>108410</v>
      </c>
      <c r="I356" s="3" t="s">
        <v>23</v>
      </c>
      <c r="J356" s="3" t="s">
        <v>17</v>
      </c>
    </row>
    <row r="357" spans="1:10" x14ac:dyDescent="0.3">
      <c r="A357" s="3" t="s">
        <v>838</v>
      </c>
      <c r="B357" s="3" t="s">
        <v>1446</v>
      </c>
      <c r="C357" s="3" t="s">
        <v>21</v>
      </c>
      <c r="D357" s="3">
        <v>39.868583162217661</v>
      </c>
      <c r="E357" s="3" t="s">
        <v>22</v>
      </c>
      <c r="F357" s="4">
        <v>278509</v>
      </c>
      <c r="G357" s="4">
        <v>72745</v>
      </c>
      <c r="H357" s="4">
        <v>45862</v>
      </c>
      <c r="I357" s="3" t="s">
        <v>16</v>
      </c>
      <c r="J357" s="3" t="s">
        <v>24</v>
      </c>
    </row>
    <row r="358" spans="1:10" x14ac:dyDescent="0.3">
      <c r="A358" s="3" t="s">
        <v>840</v>
      </c>
      <c r="B358" s="3" t="s">
        <v>1447</v>
      </c>
      <c r="C358" s="3" t="s">
        <v>48</v>
      </c>
      <c r="D358" s="3">
        <v>48</v>
      </c>
      <c r="E358" s="3" t="s">
        <v>22</v>
      </c>
      <c r="F358" s="4">
        <v>57117</v>
      </c>
      <c r="G358" s="4">
        <v>53915</v>
      </c>
      <c r="H358" s="4">
        <v>117766</v>
      </c>
      <c r="I358" s="3" t="s">
        <v>33</v>
      </c>
      <c r="J358" s="3" t="s">
        <v>17</v>
      </c>
    </row>
    <row r="359" spans="1:10" x14ac:dyDescent="0.3">
      <c r="A359" s="3" t="s">
        <v>842</v>
      </c>
      <c r="B359" s="3" t="s">
        <v>1448</v>
      </c>
      <c r="C359" s="3" t="s">
        <v>21</v>
      </c>
      <c r="D359" s="3">
        <v>43</v>
      </c>
      <c r="E359" s="3" t="s">
        <v>59</v>
      </c>
      <c r="F359" s="4">
        <v>396455</v>
      </c>
      <c r="G359" s="4">
        <v>93598</v>
      </c>
      <c r="H359" s="4">
        <v>65578</v>
      </c>
      <c r="I359" s="3" t="s">
        <v>23</v>
      </c>
      <c r="J359" s="3" t="s">
        <v>24</v>
      </c>
    </row>
    <row r="360" spans="1:10" x14ac:dyDescent="0.3">
      <c r="A360" s="3" t="s">
        <v>843</v>
      </c>
      <c r="B360" s="3" t="s">
        <v>1449</v>
      </c>
      <c r="C360" s="3" t="s">
        <v>44</v>
      </c>
      <c r="D360" s="3">
        <v>47</v>
      </c>
      <c r="E360" s="3" t="s">
        <v>1590</v>
      </c>
      <c r="F360" s="4">
        <v>90614</v>
      </c>
      <c r="G360" s="4">
        <v>189968</v>
      </c>
      <c r="H360" s="4">
        <v>92863</v>
      </c>
      <c r="I360" s="3" t="s">
        <v>16</v>
      </c>
      <c r="J360" s="3" t="s">
        <v>17</v>
      </c>
    </row>
    <row r="361" spans="1:10" x14ac:dyDescent="0.3">
      <c r="A361" s="3" t="s">
        <v>845</v>
      </c>
      <c r="B361" s="3" t="s">
        <v>1450</v>
      </c>
      <c r="C361" s="3" t="s">
        <v>14</v>
      </c>
      <c r="D361" s="3">
        <v>21</v>
      </c>
      <c r="E361" s="3" t="s">
        <v>22</v>
      </c>
      <c r="F361" s="4">
        <v>111730</v>
      </c>
      <c r="G361" s="4">
        <v>155929</v>
      </c>
      <c r="H361" s="4">
        <v>112465</v>
      </c>
      <c r="I361" s="3" t="s">
        <v>33</v>
      </c>
      <c r="J361" s="3" t="s">
        <v>17</v>
      </c>
    </row>
    <row r="362" spans="1:10" x14ac:dyDescent="0.3">
      <c r="A362" s="3" t="s">
        <v>847</v>
      </c>
      <c r="B362" s="3" t="s">
        <v>1451</v>
      </c>
      <c r="C362" s="3" t="s">
        <v>44</v>
      </c>
      <c r="D362" s="3">
        <v>30</v>
      </c>
      <c r="E362" s="3" t="s">
        <v>59</v>
      </c>
      <c r="F362" s="4">
        <v>44023</v>
      </c>
      <c r="G362" s="4">
        <v>47631</v>
      </c>
      <c r="H362" s="4">
        <v>32958</v>
      </c>
      <c r="I362" s="3" t="s">
        <v>33</v>
      </c>
      <c r="J362" s="3" t="s">
        <v>24</v>
      </c>
    </row>
    <row r="363" spans="1:10" x14ac:dyDescent="0.3">
      <c r="A363" s="3" t="s">
        <v>850</v>
      </c>
      <c r="B363" s="3" t="s">
        <v>1452</v>
      </c>
      <c r="C363" s="3" t="s">
        <v>48</v>
      </c>
      <c r="D363" s="3">
        <v>42</v>
      </c>
      <c r="E363" s="3" t="s">
        <v>59</v>
      </c>
      <c r="F363" s="4">
        <v>252076.51219512196</v>
      </c>
      <c r="G363" s="4">
        <v>124211.14285714286</v>
      </c>
      <c r="H363" s="4">
        <v>48171</v>
      </c>
      <c r="I363" s="3" t="s">
        <v>23</v>
      </c>
      <c r="J363" s="3" t="s">
        <v>17</v>
      </c>
    </row>
    <row r="364" spans="1:10" x14ac:dyDescent="0.3">
      <c r="A364" s="3" t="s">
        <v>852</v>
      </c>
      <c r="B364" s="3" t="s">
        <v>1453</v>
      </c>
      <c r="C364" s="3" t="s">
        <v>48</v>
      </c>
      <c r="D364" s="3">
        <v>57</v>
      </c>
      <c r="E364" s="3" t="s">
        <v>1590</v>
      </c>
      <c r="F364" s="4">
        <v>44348</v>
      </c>
      <c r="G364" s="4">
        <v>68666</v>
      </c>
      <c r="H364" s="4">
        <v>37097</v>
      </c>
      <c r="I364" s="3" t="s">
        <v>16</v>
      </c>
      <c r="J364" s="3" t="s">
        <v>17</v>
      </c>
    </row>
    <row r="365" spans="1:10" x14ac:dyDescent="0.3">
      <c r="A365" s="3" t="s">
        <v>854</v>
      </c>
      <c r="B365" s="3" t="s">
        <v>1454</v>
      </c>
      <c r="C365" s="3" t="s">
        <v>21</v>
      </c>
      <c r="D365" s="3">
        <v>43</v>
      </c>
      <c r="E365" s="3" t="s">
        <v>1590</v>
      </c>
      <c r="F365" s="4">
        <v>466548</v>
      </c>
      <c r="G365" s="4">
        <v>22733</v>
      </c>
      <c r="H365" s="4">
        <v>34409</v>
      </c>
      <c r="I365" s="3" t="s">
        <v>16</v>
      </c>
      <c r="J365" s="3" t="s">
        <v>17</v>
      </c>
    </row>
    <row r="366" spans="1:10" x14ac:dyDescent="0.3">
      <c r="A366" s="3" t="s">
        <v>856</v>
      </c>
      <c r="B366" s="3" t="s">
        <v>1455</v>
      </c>
      <c r="C366" s="3" t="s">
        <v>48</v>
      </c>
      <c r="D366" s="3">
        <v>52</v>
      </c>
      <c r="E366" s="3" t="s">
        <v>59</v>
      </c>
      <c r="F366" s="4">
        <v>360002</v>
      </c>
      <c r="G366" s="4">
        <v>161259</v>
      </c>
      <c r="H366" s="4">
        <v>111384</v>
      </c>
      <c r="I366" s="3" t="s">
        <v>16</v>
      </c>
      <c r="J366" s="3" t="s">
        <v>24</v>
      </c>
    </row>
    <row r="367" spans="1:10" x14ac:dyDescent="0.3">
      <c r="A367" s="3" t="s">
        <v>858</v>
      </c>
      <c r="B367" s="3" t="s">
        <v>1456</v>
      </c>
      <c r="C367" s="3" t="s">
        <v>21</v>
      </c>
      <c r="D367" s="3">
        <v>39</v>
      </c>
      <c r="E367" s="3" t="s">
        <v>22</v>
      </c>
      <c r="F367" s="4">
        <v>258853</v>
      </c>
      <c r="G367" s="4">
        <v>20010</v>
      </c>
      <c r="H367" s="4">
        <v>22361</v>
      </c>
      <c r="I367" s="3" t="s">
        <v>23</v>
      </c>
      <c r="J367" s="3" t="s">
        <v>24</v>
      </c>
    </row>
    <row r="368" spans="1:10" x14ac:dyDescent="0.3">
      <c r="A368" s="3" t="s">
        <v>859</v>
      </c>
      <c r="B368" s="3" t="s">
        <v>1457</v>
      </c>
      <c r="C368" s="3" t="s">
        <v>14</v>
      </c>
      <c r="D368" s="3">
        <v>48</v>
      </c>
      <c r="E368" s="3" t="s">
        <v>22</v>
      </c>
      <c r="F368" s="4">
        <v>252076.51219512196</v>
      </c>
      <c r="G368" s="4">
        <v>101858</v>
      </c>
      <c r="H368" s="4">
        <v>95966</v>
      </c>
      <c r="I368" s="3" t="s">
        <v>23</v>
      </c>
      <c r="J368" s="3" t="s">
        <v>17</v>
      </c>
    </row>
    <row r="369" spans="1:10" x14ac:dyDescent="0.3">
      <c r="A369" s="3" t="s">
        <v>861</v>
      </c>
      <c r="B369" s="3" t="s">
        <v>1458</v>
      </c>
      <c r="C369" s="3" t="s">
        <v>14</v>
      </c>
      <c r="D369" s="3">
        <v>43</v>
      </c>
      <c r="E369" s="3" t="s">
        <v>1590</v>
      </c>
      <c r="F369" s="4">
        <v>237006</v>
      </c>
      <c r="G369" s="4">
        <v>84806</v>
      </c>
      <c r="H369" s="4">
        <v>105352</v>
      </c>
      <c r="I369" s="3" t="s">
        <v>23</v>
      </c>
      <c r="J369" s="3" t="s">
        <v>17</v>
      </c>
    </row>
    <row r="370" spans="1:10" x14ac:dyDescent="0.3">
      <c r="A370" s="3" t="s">
        <v>863</v>
      </c>
      <c r="B370" s="3" t="s">
        <v>1459</v>
      </c>
      <c r="C370" s="3" t="s">
        <v>21</v>
      </c>
      <c r="D370" s="3">
        <v>39</v>
      </c>
      <c r="E370" s="3" t="s">
        <v>1590</v>
      </c>
      <c r="F370" s="4">
        <v>261414</v>
      </c>
      <c r="G370" s="4">
        <v>239815</v>
      </c>
      <c r="H370" s="4">
        <v>30064</v>
      </c>
      <c r="I370" s="3" t="s">
        <v>16</v>
      </c>
      <c r="J370" s="3" t="s">
        <v>24</v>
      </c>
    </row>
    <row r="371" spans="1:10" x14ac:dyDescent="0.3">
      <c r="A371" s="3" t="s">
        <v>865</v>
      </c>
      <c r="B371" s="3" t="s">
        <v>1460</v>
      </c>
      <c r="C371" s="3" t="s">
        <v>48</v>
      </c>
      <c r="D371" s="3">
        <v>56</v>
      </c>
      <c r="E371" s="3" t="s">
        <v>22</v>
      </c>
      <c r="F371" s="4">
        <v>319744</v>
      </c>
      <c r="G371" s="4">
        <v>93137</v>
      </c>
      <c r="H371" s="4">
        <v>76700</v>
      </c>
      <c r="I371" s="3" t="s">
        <v>16</v>
      </c>
      <c r="J371" s="3" t="s">
        <v>17</v>
      </c>
    </row>
    <row r="372" spans="1:10" x14ac:dyDescent="0.3">
      <c r="A372" s="3" t="s">
        <v>867</v>
      </c>
      <c r="B372" s="3" t="s">
        <v>1461</v>
      </c>
      <c r="C372" s="3" t="s">
        <v>44</v>
      </c>
      <c r="D372" s="3">
        <v>24</v>
      </c>
      <c r="E372" s="3" t="s">
        <v>59</v>
      </c>
      <c r="F372" s="4">
        <v>252076.51219512196</v>
      </c>
      <c r="G372" s="4">
        <v>133095</v>
      </c>
      <c r="H372" s="4">
        <v>48979</v>
      </c>
      <c r="I372" s="3" t="s">
        <v>33</v>
      </c>
      <c r="J372" s="3" t="s">
        <v>24</v>
      </c>
    </row>
    <row r="373" spans="1:10" x14ac:dyDescent="0.3">
      <c r="A373" s="3" t="s">
        <v>869</v>
      </c>
      <c r="B373" s="3" t="s">
        <v>1462</v>
      </c>
      <c r="C373" s="3" t="s">
        <v>44</v>
      </c>
      <c r="D373" s="3">
        <v>59</v>
      </c>
      <c r="E373" s="3" t="s">
        <v>22</v>
      </c>
      <c r="F373" s="4">
        <v>344622</v>
      </c>
      <c r="G373" s="4">
        <v>260297</v>
      </c>
      <c r="H373" s="4">
        <v>74372</v>
      </c>
      <c r="I373" s="3" t="s">
        <v>16</v>
      </c>
      <c r="J373" s="3" t="s">
        <v>24</v>
      </c>
    </row>
    <row r="374" spans="1:10" x14ac:dyDescent="0.3">
      <c r="A374" s="3" t="s">
        <v>872</v>
      </c>
      <c r="B374" s="3" t="s">
        <v>1463</v>
      </c>
      <c r="C374" s="3" t="s">
        <v>21</v>
      </c>
      <c r="D374" s="3">
        <v>28</v>
      </c>
      <c r="E374" s="3" t="s">
        <v>22</v>
      </c>
      <c r="F374" s="4">
        <v>392183</v>
      </c>
      <c r="G374" s="4">
        <v>132526</v>
      </c>
      <c r="H374" s="4">
        <v>134976</v>
      </c>
      <c r="I374" s="3" t="s">
        <v>16</v>
      </c>
      <c r="J374" s="3" t="s">
        <v>24</v>
      </c>
    </row>
    <row r="375" spans="1:10" x14ac:dyDescent="0.3">
      <c r="A375" s="3" t="s">
        <v>873</v>
      </c>
      <c r="B375" s="3" t="s">
        <v>1464</v>
      </c>
      <c r="C375" s="3" t="s">
        <v>14</v>
      </c>
      <c r="D375" s="3">
        <v>32</v>
      </c>
      <c r="E375" s="3" t="s">
        <v>22</v>
      </c>
      <c r="F375" s="4">
        <v>121171</v>
      </c>
      <c r="G375" s="4">
        <v>6261</v>
      </c>
      <c r="H375" s="4">
        <v>148901</v>
      </c>
      <c r="I375" s="3" t="s">
        <v>33</v>
      </c>
      <c r="J375" s="3" t="s">
        <v>24</v>
      </c>
    </row>
    <row r="376" spans="1:10" x14ac:dyDescent="0.3">
      <c r="A376" s="3" t="s">
        <v>874</v>
      </c>
      <c r="B376" s="3" t="s">
        <v>1465</v>
      </c>
      <c r="C376" s="3" t="s">
        <v>21</v>
      </c>
      <c r="D376" s="3">
        <v>53</v>
      </c>
      <c r="E376" s="3" t="s">
        <v>59</v>
      </c>
      <c r="F376" s="4">
        <v>478742</v>
      </c>
      <c r="G376" s="4">
        <v>51344</v>
      </c>
      <c r="H376" s="4">
        <v>125003</v>
      </c>
      <c r="I376" s="3" t="s">
        <v>23</v>
      </c>
      <c r="J376" s="3" t="s">
        <v>24</v>
      </c>
    </row>
    <row r="377" spans="1:10" x14ac:dyDescent="0.3">
      <c r="A377" s="3" t="s">
        <v>877</v>
      </c>
      <c r="B377" s="3" t="s">
        <v>1466</v>
      </c>
      <c r="C377" s="3" t="s">
        <v>21</v>
      </c>
      <c r="D377" s="3">
        <v>31</v>
      </c>
      <c r="E377" s="3" t="s">
        <v>1590</v>
      </c>
      <c r="F377" s="4">
        <v>396430</v>
      </c>
      <c r="G377" s="4">
        <v>82952</v>
      </c>
      <c r="H377" s="4">
        <v>97601</v>
      </c>
      <c r="I377" s="3" t="s">
        <v>33</v>
      </c>
      <c r="J377" s="3" t="s">
        <v>24</v>
      </c>
    </row>
    <row r="378" spans="1:10" x14ac:dyDescent="0.3">
      <c r="A378" s="3" t="s">
        <v>879</v>
      </c>
      <c r="B378" s="3" t="s">
        <v>1467</v>
      </c>
      <c r="C378" s="3" t="s">
        <v>44</v>
      </c>
      <c r="D378" s="3">
        <v>24</v>
      </c>
      <c r="E378" s="3" t="s">
        <v>22</v>
      </c>
      <c r="F378" s="4">
        <v>423701</v>
      </c>
      <c r="G378" s="4">
        <v>129181</v>
      </c>
      <c r="H378" s="4">
        <v>15001</v>
      </c>
      <c r="I378" s="3" t="s">
        <v>33</v>
      </c>
      <c r="J378" s="3" t="s">
        <v>17</v>
      </c>
    </row>
    <row r="379" spans="1:10" x14ac:dyDescent="0.3">
      <c r="A379" s="3" t="s">
        <v>880</v>
      </c>
      <c r="B379" s="3" t="s">
        <v>1468</v>
      </c>
      <c r="C379" s="3" t="s">
        <v>14</v>
      </c>
      <c r="D379" s="3">
        <v>27</v>
      </c>
      <c r="E379" s="3" t="s">
        <v>59</v>
      </c>
      <c r="F379" s="4">
        <v>293666</v>
      </c>
      <c r="G379" s="4">
        <v>234181</v>
      </c>
      <c r="H379" s="4">
        <v>54259</v>
      </c>
      <c r="I379" s="3" t="s">
        <v>16</v>
      </c>
      <c r="J379" s="3" t="s">
        <v>24</v>
      </c>
    </row>
    <row r="380" spans="1:10" x14ac:dyDescent="0.3">
      <c r="A380" s="3" t="s">
        <v>882</v>
      </c>
      <c r="B380" s="3" t="s">
        <v>1469</v>
      </c>
      <c r="C380" s="3" t="s">
        <v>14</v>
      </c>
      <c r="D380" s="3">
        <v>53</v>
      </c>
      <c r="E380" s="3" t="s">
        <v>59</v>
      </c>
      <c r="F380" s="4">
        <v>34264</v>
      </c>
      <c r="G380" s="4">
        <v>103776</v>
      </c>
      <c r="H380" s="4">
        <v>129466</v>
      </c>
      <c r="I380" s="3" t="s">
        <v>23</v>
      </c>
      <c r="J380" s="3" t="s">
        <v>17</v>
      </c>
    </row>
    <row r="381" spans="1:10" x14ac:dyDescent="0.3">
      <c r="A381" s="3" t="s">
        <v>884</v>
      </c>
      <c r="B381" s="3" t="s">
        <v>1470</v>
      </c>
      <c r="C381" s="3" t="s">
        <v>48</v>
      </c>
      <c r="D381" s="3">
        <v>50</v>
      </c>
      <c r="E381" s="3" t="s">
        <v>22</v>
      </c>
      <c r="F381" s="4">
        <v>160810</v>
      </c>
      <c r="G381" s="4">
        <v>268796</v>
      </c>
      <c r="H381" s="4">
        <v>145311</v>
      </c>
      <c r="I381" s="3" t="s">
        <v>23</v>
      </c>
      <c r="J381" s="3" t="s">
        <v>17</v>
      </c>
    </row>
    <row r="382" spans="1:10" x14ac:dyDescent="0.3">
      <c r="A382" s="3" t="s">
        <v>887</v>
      </c>
      <c r="B382" s="3" t="s">
        <v>1471</v>
      </c>
      <c r="C382" s="3" t="s">
        <v>14</v>
      </c>
      <c r="D382" s="3">
        <v>40</v>
      </c>
      <c r="E382" s="3" t="s">
        <v>59</v>
      </c>
      <c r="F382" s="4">
        <v>242668</v>
      </c>
      <c r="G382" s="4">
        <v>62828</v>
      </c>
      <c r="H382" s="4">
        <v>32923</v>
      </c>
      <c r="I382" s="3" t="s">
        <v>23</v>
      </c>
      <c r="J382" s="3" t="s">
        <v>24</v>
      </c>
    </row>
    <row r="383" spans="1:10" x14ac:dyDescent="0.3">
      <c r="A383" s="3" t="s">
        <v>889</v>
      </c>
      <c r="B383" s="3" t="s">
        <v>1472</v>
      </c>
      <c r="C383" s="3" t="s">
        <v>21</v>
      </c>
      <c r="D383" s="3">
        <v>56</v>
      </c>
      <c r="E383" s="3" t="s">
        <v>1590</v>
      </c>
      <c r="F383" s="4">
        <v>485185</v>
      </c>
      <c r="G383" s="4">
        <v>85717</v>
      </c>
      <c r="H383" s="4">
        <v>23583</v>
      </c>
      <c r="I383" s="3" t="s">
        <v>33</v>
      </c>
      <c r="J383" s="3" t="s">
        <v>17</v>
      </c>
    </row>
    <row r="384" spans="1:10" x14ac:dyDescent="0.3">
      <c r="A384" s="3" t="s">
        <v>891</v>
      </c>
      <c r="B384" s="3" t="s">
        <v>1473</v>
      </c>
      <c r="C384" s="3" t="s">
        <v>14</v>
      </c>
      <c r="D384" s="3">
        <v>24</v>
      </c>
      <c r="E384" s="3" t="s">
        <v>59</v>
      </c>
      <c r="F384" s="4">
        <v>16514</v>
      </c>
      <c r="G384" s="4">
        <v>10309</v>
      </c>
      <c r="H384" s="4">
        <v>120769</v>
      </c>
      <c r="I384" s="3" t="s">
        <v>16</v>
      </c>
      <c r="J384" s="3" t="s">
        <v>17</v>
      </c>
    </row>
    <row r="385" spans="1:10" x14ac:dyDescent="0.3">
      <c r="A385" s="3" t="s">
        <v>892</v>
      </c>
      <c r="B385" s="3" t="s">
        <v>1474</v>
      </c>
      <c r="C385" s="3" t="s">
        <v>14</v>
      </c>
      <c r="D385" s="3">
        <v>35</v>
      </c>
      <c r="E385" s="3" t="s">
        <v>22</v>
      </c>
      <c r="F385" s="4">
        <v>252076.51219512196</v>
      </c>
      <c r="G385" s="4">
        <v>261842</v>
      </c>
      <c r="H385" s="4">
        <v>71474</v>
      </c>
      <c r="I385" s="3" t="s">
        <v>23</v>
      </c>
      <c r="J385" s="3" t="s">
        <v>24</v>
      </c>
    </row>
    <row r="386" spans="1:10" x14ac:dyDescent="0.3">
      <c r="A386" s="3" t="s">
        <v>893</v>
      </c>
      <c r="B386" s="3" t="s">
        <v>1475</v>
      </c>
      <c r="C386" s="3" t="s">
        <v>44</v>
      </c>
      <c r="D386" s="3">
        <v>32</v>
      </c>
      <c r="E386" s="3" t="s">
        <v>59</v>
      </c>
      <c r="F386" s="4">
        <v>337847</v>
      </c>
      <c r="G386" s="4">
        <v>194095</v>
      </c>
      <c r="H386" s="4">
        <v>21729</v>
      </c>
      <c r="I386" s="3" t="s">
        <v>23</v>
      </c>
      <c r="J386" s="3" t="s">
        <v>17</v>
      </c>
    </row>
    <row r="387" spans="1:10" x14ac:dyDescent="0.3">
      <c r="A387" s="3" t="s">
        <v>896</v>
      </c>
      <c r="B387" s="3" t="s">
        <v>1476</v>
      </c>
      <c r="C387" s="3" t="s">
        <v>58</v>
      </c>
      <c r="D387" s="3">
        <v>36</v>
      </c>
      <c r="E387" s="3" t="s">
        <v>1590</v>
      </c>
      <c r="F387" s="4">
        <v>129645</v>
      </c>
      <c r="G387" s="4">
        <v>272792</v>
      </c>
      <c r="H387" s="4">
        <v>118466</v>
      </c>
      <c r="I387" s="3" t="s">
        <v>16</v>
      </c>
      <c r="J387" s="3" t="s">
        <v>24</v>
      </c>
    </row>
    <row r="388" spans="1:10" x14ac:dyDescent="0.3">
      <c r="A388" s="3" t="s">
        <v>898</v>
      </c>
      <c r="B388" s="3" t="s">
        <v>1477</v>
      </c>
      <c r="C388" s="3" t="s">
        <v>44</v>
      </c>
      <c r="D388" s="3">
        <v>27</v>
      </c>
      <c r="E388" s="3" t="s">
        <v>59</v>
      </c>
      <c r="F388" s="4">
        <v>284215</v>
      </c>
      <c r="G388" s="4">
        <v>61252</v>
      </c>
      <c r="H388" s="4">
        <v>88259</v>
      </c>
      <c r="I388" s="3" t="s">
        <v>33</v>
      </c>
      <c r="J388" s="3" t="s">
        <v>24</v>
      </c>
    </row>
    <row r="389" spans="1:10" x14ac:dyDescent="0.3">
      <c r="A389" s="3" t="s">
        <v>899</v>
      </c>
      <c r="B389" s="3" t="s">
        <v>1478</v>
      </c>
      <c r="C389" s="3" t="s">
        <v>44</v>
      </c>
      <c r="D389" s="3">
        <v>58</v>
      </c>
      <c r="E389" s="3" t="s">
        <v>59</v>
      </c>
      <c r="F389" s="4">
        <v>151192</v>
      </c>
      <c r="G389" s="4">
        <v>144596.33333333334</v>
      </c>
      <c r="H389" s="4">
        <v>116164</v>
      </c>
      <c r="I389" s="3" t="s">
        <v>23</v>
      </c>
      <c r="J389" s="3" t="s">
        <v>24</v>
      </c>
    </row>
    <row r="390" spans="1:10" x14ac:dyDescent="0.3">
      <c r="A390" s="3" t="s">
        <v>900</v>
      </c>
      <c r="B390" s="3" t="s">
        <v>1479</v>
      </c>
      <c r="C390" s="3" t="s">
        <v>58</v>
      </c>
      <c r="D390" s="3">
        <v>52</v>
      </c>
      <c r="E390" s="3" t="s">
        <v>59</v>
      </c>
      <c r="F390" s="4">
        <v>107589</v>
      </c>
      <c r="G390" s="4">
        <v>286248</v>
      </c>
      <c r="H390" s="4">
        <v>128046</v>
      </c>
      <c r="I390" s="3" t="s">
        <v>16</v>
      </c>
      <c r="J390" s="3" t="s">
        <v>24</v>
      </c>
    </row>
    <row r="391" spans="1:10" x14ac:dyDescent="0.3">
      <c r="A391" s="3" t="s">
        <v>901</v>
      </c>
      <c r="B391" s="3" t="s">
        <v>1480</v>
      </c>
      <c r="C391" s="3" t="s">
        <v>14</v>
      </c>
      <c r="D391" s="3">
        <v>59</v>
      </c>
      <c r="E391" s="3" t="s">
        <v>22</v>
      </c>
      <c r="F391" s="4">
        <v>208909</v>
      </c>
      <c r="G391" s="4">
        <v>181534.3</v>
      </c>
      <c r="H391" s="4">
        <v>68167</v>
      </c>
      <c r="I391" s="3" t="s">
        <v>23</v>
      </c>
      <c r="J391" s="3" t="s">
        <v>17</v>
      </c>
    </row>
    <row r="392" spans="1:10" x14ac:dyDescent="0.3">
      <c r="A392" s="3" t="s">
        <v>902</v>
      </c>
      <c r="B392" s="3" t="s">
        <v>1481</v>
      </c>
      <c r="C392" s="3" t="s">
        <v>14</v>
      </c>
      <c r="D392" s="3">
        <v>24</v>
      </c>
      <c r="E392" s="3" t="s">
        <v>22</v>
      </c>
      <c r="F392" s="4">
        <v>442105</v>
      </c>
      <c r="G392" s="4">
        <v>79060</v>
      </c>
      <c r="H392" s="4">
        <v>134649</v>
      </c>
      <c r="I392" s="3" t="s">
        <v>16</v>
      </c>
      <c r="J392" s="3" t="s">
        <v>17</v>
      </c>
    </row>
    <row r="393" spans="1:10" x14ac:dyDescent="0.3">
      <c r="A393" s="3" t="s">
        <v>904</v>
      </c>
      <c r="B393" s="3" t="s">
        <v>1482</v>
      </c>
      <c r="C393" s="3" t="s">
        <v>48</v>
      </c>
      <c r="D393" s="3">
        <v>27</v>
      </c>
      <c r="E393" s="3" t="s">
        <v>1590</v>
      </c>
      <c r="F393" s="4">
        <v>407361</v>
      </c>
      <c r="G393" s="4">
        <v>238892</v>
      </c>
      <c r="H393" s="4">
        <v>136584</v>
      </c>
      <c r="I393" s="3" t="s">
        <v>23</v>
      </c>
      <c r="J393" s="3" t="s">
        <v>24</v>
      </c>
    </row>
    <row r="394" spans="1:10" x14ac:dyDescent="0.3">
      <c r="A394" s="3" t="s">
        <v>906</v>
      </c>
      <c r="B394" s="3" t="s">
        <v>1483</v>
      </c>
      <c r="C394" s="3" t="s">
        <v>48</v>
      </c>
      <c r="D394" s="3">
        <v>34</v>
      </c>
      <c r="E394" s="3" t="s">
        <v>22</v>
      </c>
      <c r="F394" s="4">
        <v>252076.51219512196</v>
      </c>
      <c r="G394" s="4">
        <v>137432</v>
      </c>
      <c r="H394" s="4">
        <v>29725</v>
      </c>
      <c r="I394" s="3" t="s">
        <v>33</v>
      </c>
      <c r="J394" s="3" t="s">
        <v>24</v>
      </c>
    </row>
    <row r="395" spans="1:10" x14ac:dyDescent="0.3">
      <c r="A395" s="3" t="s">
        <v>908</v>
      </c>
      <c r="B395" s="3" t="s">
        <v>1484</v>
      </c>
      <c r="C395" s="3" t="s">
        <v>58</v>
      </c>
      <c r="D395" s="3">
        <v>31</v>
      </c>
      <c r="E395" s="3" t="s">
        <v>22</v>
      </c>
      <c r="F395" s="4">
        <v>101407</v>
      </c>
      <c r="G395" s="4">
        <v>193618</v>
      </c>
      <c r="H395" s="4">
        <v>72765</v>
      </c>
      <c r="I395" s="3" t="s">
        <v>16</v>
      </c>
      <c r="J395" s="3" t="s">
        <v>17</v>
      </c>
    </row>
    <row r="396" spans="1:10" x14ac:dyDescent="0.3">
      <c r="A396" s="3" t="s">
        <v>910</v>
      </c>
      <c r="B396" s="3" t="s">
        <v>1485</v>
      </c>
      <c r="C396" s="3" t="s">
        <v>58</v>
      </c>
      <c r="D396" s="3">
        <v>23</v>
      </c>
      <c r="E396" s="3" t="s">
        <v>59</v>
      </c>
      <c r="F396" s="4">
        <v>192867</v>
      </c>
      <c r="G396" s="4">
        <v>263591</v>
      </c>
      <c r="H396" s="4">
        <v>78847</v>
      </c>
      <c r="I396" s="3" t="s">
        <v>33</v>
      </c>
      <c r="J396" s="3" t="s">
        <v>17</v>
      </c>
    </row>
    <row r="397" spans="1:10" x14ac:dyDescent="0.3">
      <c r="A397" s="3" t="s">
        <v>913</v>
      </c>
      <c r="B397" s="3" t="s">
        <v>1486</v>
      </c>
      <c r="C397" s="3" t="s">
        <v>58</v>
      </c>
      <c r="D397" s="3">
        <v>21</v>
      </c>
      <c r="E397" s="3" t="s">
        <v>59</v>
      </c>
      <c r="F397" s="4">
        <v>252076.51219512196</v>
      </c>
      <c r="G397" s="4">
        <v>64002</v>
      </c>
      <c r="H397" s="4">
        <v>86639</v>
      </c>
      <c r="I397" s="3" t="s">
        <v>23</v>
      </c>
      <c r="J397" s="3" t="s">
        <v>17</v>
      </c>
    </row>
    <row r="398" spans="1:10" x14ac:dyDescent="0.3">
      <c r="A398" s="3" t="s">
        <v>915</v>
      </c>
      <c r="B398" s="3" t="s">
        <v>1487</v>
      </c>
      <c r="C398" s="3" t="s">
        <v>14</v>
      </c>
      <c r="D398" s="3">
        <v>48</v>
      </c>
      <c r="E398" s="3" t="s">
        <v>22</v>
      </c>
      <c r="F398" s="4">
        <v>393629</v>
      </c>
      <c r="G398" s="4">
        <v>136682.45454545456</v>
      </c>
      <c r="H398" s="4">
        <v>136131</v>
      </c>
      <c r="I398" s="3" t="s">
        <v>23</v>
      </c>
      <c r="J398" s="3" t="s">
        <v>24</v>
      </c>
    </row>
    <row r="399" spans="1:10" x14ac:dyDescent="0.3">
      <c r="A399" s="3" t="s">
        <v>917</v>
      </c>
      <c r="B399" s="3" t="s">
        <v>1488</v>
      </c>
      <c r="C399" s="3" t="s">
        <v>14</v>
      </c>
      <c r="D399" s="3">
        <v>40</v>
      </c>
      <c r="E399" s="3" t="s">
        <v>59</v>
      </c>
      <c r="F399" s="4">
        <v>252076.51219512196</v>
      </c>
      <c r="G399" s="4">
        <v>75631</v>
      </c>
      <c r="H399" s="4">
        <v>13823</v>
      </c>
      <c r="I399" s="3" t="s">
        <v>16</v>
      </c>
      <c r="J399" s="3" t="s">
        <v>24</v>
      </c>
    </row>
    <row r="400" spans="1:10" x14ac:dyDescent="0.3">
      <c r="A400" s="3" t="s">
        <v>918</v>
      </c>
      <c r="B400" s="3" t="s">
        <v>1489</v>
      </c>
      <c r="C400" s="3" t="s">
        <v>14</v>
      </c>
      <c r="D400" s="3">
        <v>43</v>
      </c>
      <c r="E400" s="3" t="s">
        <v>22</v>
      </c>
      <c r="F400" s="4">
        <v>399324</v>
      </c>
      <c r="G400" s="4">
        <v>77230</v>
      </c>
      <c r="H400" s="4">
        <v>104802</v>
      </c>
      <c r="I400" s="3" t="s">
        <v>16</v>
      </c>
      <c r="J400" s="3" t="s">
        <v>17</v>
      </c>
    </row>
    <row r="401" spans="1:10" x14ac:dyDescent="0.3">
      <c r="A401" s="3" t="s">
        <v>921</v>
      </c>
      <c r="B401" s="3" t="s">
        <v>1490</v>
      </c>
      <c r="C401" s="3" t="s">
        <v>48</v>
      </c>
      <c r="D401" s="3">
        <v>50</v>
      </c>
      <c r="E401" s="3" t="s">
        <v>22</v>
      </c>
      <c r="F401" s="4">
        <v>360643</v>
      </c>
      <c r="G401" s="4">
        <v>208355</v>
      </c>
      <c r="H401" s="4">
        <v>85285</v>
      </c>
      <c r="I401" s="3" t="s">
        <v>33</v>
      </c>
      <c r="J401" s="3" t="s">
        <v>17</v>
      </c>
    </row>
    <row r="402" spans="1:10" x14ac:dyDescent="0.3">
      <c r="A402" s="3" t="s">
        <v>923</v>
      </c>
      <c r="B402" s="3" t="s">
        <v>1491</v>
      </c>
      <c r="C402" s="3" t="s">
        <v>48</v>
      </c>
      <c r="D402" s="3">
        <v>43</v>
      </c>
      <c r="E402" s="3" t="s">
        <v>59</v>
      </c>
      <c r="F402" s="4">
        <v>421245</v>
      </c>
      <c r="G402" s="4">
        <v>211793</v>
      </c>
      <c r="H402" s="4">
        <v>109090</v>
      </c>
      <c r="I402" s="3" t="s">
        <v>23</v>
      </c>
      <c r="J402" s="3" t="s">
        <v>24</v>
      </c>
    </row>
    <row r="403" spans="1:10" x14ac:dyDescent="0.3">
      <c r="A403" s="3" t="s">
        <v>925</v>
      </c>
      <c r="B403" s="3" t="s">
        <v>1492</v>
      </c>
      <c r="C403" s="3" t="s">
        <v>14</v>
      </c>
      <c r="D403" s="3">
        <v>33</v>
      </c>
      <c r="E403" s="3" t="s">
        <v>22</v>
      </c>
      <c r="F403" s="4">
        <v>373993</v>
      </c>
      <c r="G403" s="4">
        <v>158009</v>
      </c>
      <c r="H403" s="4">
        <v>128882</v>
      </c>
      <c r="I403" s="3" t="s">
        <v>23</v>
      </c>
      <c r="J403" s="3" t="s">
        <v>17</v>
      </c>
    </row>
    <row r="404" spans="1:10" x14ac:dyDescent="0.3">
      <c r="A404" s="3" t="s">
        <v>926</v>
      </c>
      <c r="B404" s="3" t="s">
        <v>1493</v>
      </c>
      <c r="C404" s="3" t="s">
        <v>14</v>
      </c>
      <c r="D404" s="3">
        <v>58</v>
      </c>
      <c r="E404" s="3" t="s">
        <v>22</v>
      </c>
      <c r="F404" s="4">
        <v>282383</v>
      </c>
      <c r="G404" s="4">
        <v>105971</v>
      </c>
      <c r="H404" s="4">
        <v>135782</v>
      </c>
      <c r="I404" s="3" t="s">
        <v>16</v>
      </c>
      <c r="J404" s="3" t="s">
        <v>24</v>
      </c>
    </row>
    <row r="405" spans="1:10" x14ac:dyDescent="0.3">
      <c r="A405" s="3" t="s">
        <v>928</v>
      </c>
      <c r="B405" s="3" t="s">
        <v>1494</v>
      </c>
      <c r="C405" s="3" t="s">
        <v>48</v>
      </c>
      <c r="D405" s="3">
        <v>34</v>
      </c>
      <c r="E405" s="3" t="s">
        <v>22</v>
      </c>
      <c r="F405" s="4">
        <v>158930</v>
      </c>
      <c r="G405" s="4">
        <v>85027</v>
      </c>
      <c r="H405" s="4">
        <v>108391</v>
      </c>
      <c r="I405" s="3" t="s">
        <v>23</v>
      </c>
      <c r="J405" s="3" t="s">
        <v>24</v>
      </c>
    </row>
    <row r="406" spans="1:10" x14ac:dyDescent="0.3">
      <c r="A406" s="3" t="s">
        <v>929</v>
      </c>
      <c r="B406" s="3" t="s">
        <v>1495</v>
      </c>
      <c r="C406" s="3" t="s">
        <v>48</v>
      </c>
      <c r="D406" s="3">
        <v>59</v>
      </c>
      <c r="E406" s="3" t="s">
        <v>59</v>
      </c>
      <c r="F406" s="4">
        <v>258094</v>
      </c>
      <c r="G406" s="4">
        <v>285919</v>
      </c>
      <c r="H406" s="4">
        <v>85634</v>
      </c>
      <c r="I406" s="3" t="s">
        <v>16</v>
      </c>
      <c r="J406" s="3" t="s">
        <v>24</v>
      </c>
    </row>
    <row r="407" spans="1:10" x14ac:dyDescent="0.3">
      <c r="A407" s="3" t="s">
        <v>930</v>
      </c>
      <c r="B407" s="3" t="s">
        <v>1496</v>
      </c>
      <c r="C407" s="3" t="s">
        <v>21</v>
      </c>
      <c r="D407" s="3">
        <v>45</v>
      </c>
      <c r="E407" s="3" t="s">
        <v>22</v>
      </c>
      <c r="F407" s="4">
        <v>167764</v>
      </c>
      <c r="G407" s="4">
        <v>223982</v>
      </c>
      <c r="H407" s="4">
        <v>138849</v>
      </c>
      <c r="I407" s="3" t="s">
        <v>33</v>
      </c>
      <c r="J407" s="3" t="s">
        <v>24</v>
      </c>
    </row>
    <row r="408" spans="1:10" x14ac:dyDescent="0.3">
      <c r="A408" s="3" t="s">
        <v>933</v>
      </c>
      <c r="B408" s="3" t="s">
        <v>1497</v>
      </c>
      <c r="C408" s="3" t="s">
        <v>21</v>
      </c>
      <c r="D408" s="3">
        <v>47</v>
      </c>
      <c r="E408" s="3" t="s">
        <v>59</v>
      </c>
      <c r="F408" s="4">
        <v>363497</v>
      </c>
      <c r="G408" s="4">
        <v>125598.55555555556</v>
      </c>
      <c r="H408" s="4">
        <v>138066</v>
      </c>
      <c r="I408" s="3" t="s">
        <v>16</v>
      </c>
      <c r="J408" s="3" t="s">
        <v>24</v>
      </c>
    </row>
    <row r="409" spans="1:10" x14ac:dyDescent="0.3">
      <c r="A409" s="3" t="s">
        <v>936</v>
      </c>
      <c r="B409" s="3" t="s">
        <v>1498</v>
      </c>
      <c r="C409" s="3" t="s">
        <v>48</v>
      </c>
      <c r="D409" s="3">
        <v>44</v>
      </c>
      <c r="E409" s="3" t="s">
        <v>22</v>
      </c>
      <c r="F409" s="4">
        <v>72208</v>
      </c>
      <c r="G409" s="4">
        <v>143371</v>
      </c>
      <c r="H409" s="4">
        <v>73110</v>
      </c>
      <c r="I409" s="3" t="s">
        <v>33</v>
      </c>
      <c r="J409" s="3" t="s">
        <v>24</v>
      </c>
    </row>
    <row r="410" spans="1:10" x14ac:dyDescent="0.3">
      <c r="A410" s="3" t="s">
        <v>939</v>
      </c>
      <c r="B410" s="3" t="s">
        <v>1499</v>
      </c>
      <c r="C410" s="3" t="s">
        <v>21</v>
      </c>
      <c r="D410" s="3">
        <v>46</v>
      </c>
      <c r="E410" s="3" t="s">
        <v>1590</v>
      </c>
      <c r="F410" s="4">
        <v>252076.51219512196</v>
      </c>
      <c r="G410" s="4">
        <v>248838</v>
      </c>
      <c r="H410" s="4">
        <v>118491</v>
      </c>
      <c r="I410" s="3" t="s">
        <v>23</v>
      </c>
      <c r="J410" s="3" t="s">
        <v>24</v>
      </c>
    </row>
    <row r="411" spans="1:10" x14ac:dyDescent="0.3">
      <c r="A411" s="3" t="s">
        <v>940</v>
      </c>
      <c r="B411" s="3" t="s">
        <v>1500</v>
      </c>
      <c r="C411" s="3" t="s">
        <v>21</v>
      </c>
      <c r="D411" s="3">
        <v>30</v>
      </c>
      <c r="E411" s="3" t="s">
        <v>22</v>
      </c>
      <c r="F411" s="4">
        <v>374240</v>
      </c>
      <c r="G411" s="4">
        <v>293646</v>
      </c>
      <c r="H411" s="4">
        <v>72554</v>
      </c>
      <c r="I411" s="3" t="s">
        <v>33</v>
      </c>
      <c r="J411" s="3" t="s">
        <v>24</v>
      </c>
    </row>
    <row r="412" spans="1:10" x14ac:dyDescent="0.3">
      <c r="A412" s="3" t="s">
        <v>942</v>
      </c>
      <c r="B412" s="3" t="s">
        <v>1501</v>
      </c>
      <c r="C412" s="3" t="s">
        <v>44</v>
      </c>
      <c r="D412" s="3">
        <v>49</v>
      </c>
      <c r="E412" s="3" t="s">
        <v>59</v>
      </c>
      <c r="F412" s="4">
        <v>440433</v>
      </c>
      <c r="G412" s="4">
        <v>140398.72727272726</v>
      </c>
      <c r="H412" s="4">
        <v>11138</v>
      </c>
      <c r="I412" s="3" t="s">
        <v>23</v>
      </c>
      <c r="J412" s="3" t="s">
        <v>24</v>
      </c>
    </row>
    <row r="413" spans="1:10" x14ac:dyDescent="0.3">
      <c r="A413" s="3" t="s">
        <v>944</v>
      </c>
      <c r="B413" s="3" t="s">
        <v>1502</v>
      </c>
      <c r="C413" s="3" t="s">
        <v>14</v>
      </c>
      <c r="D413" s="3">
        <v>44</v>
      </c>
      <c r="E413" s="3" t="s">
        <v>59</v>
      </c>
      <c r="F413" s="4">
        <v>252076.51219512196</v>
      </c>
      <c r="G413" s="4">
        <v>91719</v>
      </c>
      <c r="H413" s="4">
        <v>97591</v>
      </c>
      <c r="I413" s="3" t="s">
        <v>16</v>
      </c>
      <c r="J413" s="3" t="s">
        <v>24</v>
      </c>
    </row>
    <row r="414" spans="1:10" x14ac:dyDescent="0.3">
      <c r="A414" s="3" t="s">
        <v>945</v>
      </c>
      <c r="B414" s="3" t="s">
        <v>1503</v>
      </c>
      <c r="C414" s="3" t="s">
        <v>58</v>
      </c>
      <c r="D414" s="3">
        <v>27</v>
      </c>
      <c r="E414" s="3" t="s">
        <v>22</v>
      </c>
      <c r="F414" s="4">
        <v>387597</v>
      </c>
      <c r="G414" s="4">
        <v>92401</v>
      </c>
      <c r="H414" s="4">
        <v>40679</v>
      </c>
      <c r="I414" s="3" t="s">
        <v>16</v>
      </c>
      <c r="J414" s="3" t="s">
        <v>24</v>
      </c>
    </row>
    <row r="415" spans="1:10" x14ac:dyDescent="0.3">
      <c r="A415" s="3" t="s">
        <v>946</v>
      </c>
      <c r="B415" s="3" t="s">
        <v>1504</v>
      </c>
      <c r="C415" s="3" t="s">
        <v>58</v>
      </c>
      <c r="D415" s="3">
        <v>28</v>
      </c>
      <c r="E415" s="3" t="s">
        <v>59</v>
      </c>
      <c r="F415" s="4">
        <v>482088</v>
      </c>
      <c r="G415" s="4">
        <v>156740</v>
      </c>
      <c r="H415" s="4">
        <v>34917</v>
      </c>
      <c r="I415" s="3" t="s">
        <v>16</v>
      </c>
      <c r="J415" s="3" t="s">
        <v>17</v>
      </c>
    </row>
    <row r="416" spans="1:10" x14ac:dyDescent="0.3">
      <c r="A416" s="3" t="s">
        <v>947</v>
      </c>
      <c r="B416" s="3" t="s">
        <v>1505</v>
      </c>
      <c r="C416" s="3" t="s">
        <v>58</v>
      </c>
      <c r="D416" s="3">
        <v>53</v>
      </c>
      <c r="E416" s="3" t="s">
        <v>59</v>
      </c>
      <c r="F416" s="4">
        <v>393788</v>
      </c>
      <c r="G416" s="4">
        <v>116430</v>
      </c>
      <c r="H416" s="4">
        <v>129078</v>
      </c>
      <c r="I416" s="3" t="s">
        <v>23</v>
      </c>
      <c r="J416" s="3" t="s">
        <v>24</v>
      </c>
    </row>
    <row r="417" spans="1:10" x14ac:dyDescent="0.3">
      <c r="A417" s="3" t="s">
        <v>948</v>
      </c>
      <c r="B417" s="3" t="s">
        <v>1506</v>
      </c>
      <c r="C417" s="3" t="s">
        <v>48</v>
      </c>
      <c r="D417" s="3">
        <v>27</v>
      </c>
      <c r="E417" s="3" t="s">
        <v>22</v>
      </c>
      <c r="F417" s="4">
        <v>490489</v>
      </c>
      <c r="G417" s="4">
        <v>82193</v>
      </c>
      <c r="H417" s="4">
        <v>129796</v>
      </c>
      <c r="I417" s="3" t="s">
        <v>16</v>
      </c>
      <c r="J417" s="3" t="s">
        <v>24</v>
      </c>
    </row>
    <row r="418" spans="1:10" x14ac:dyDescent="0.3">
      <c r="A418" s="3" t="s">
        <v>949</v>
      </c>
      <c r="B418" s="3" t="s">
        <v>1507</v>
      </c>
      <c r="C418" s="3" t="s">
        <v>48</v>
      </c>
      <c r="D418" s="3">
        <v>42</v>
      </c>
      <c r="E418" s="3" t="s">
        <v>1590</v>
      </c>
      <c r="F418" s="4">
        <v>457798</v>
      </c>
      <c r="G418" s="4">
        <v>108281</v>
      </c>
      <c r="H418" s="4">
        <v>44389</v>
      </c>
      <c r="I418" s="3" t="s">
        <v>33</v>
      </c>
      <c r="J418" s="3" t="s">
        <v>17</v>
      </c>
    </row>
    <row r="419" spans="1:10" x14ac:dyDescent="0.3">
      <c r="A419" s="3" t="s">
        <v>951</v>
      </c>
      <c r="B419" s="3" t="s">
        <v>1508</v>
      </c>
      <c r="C419" s="3" t="s">
        <v>21</v>
      </c>
      <c r="D419" s="3">
        <v>22</v>
      </c>
      <c r="E419" s="3" t="s">
        <v>59</v>
      </c>
      <c r="F419" s="4">
        <v>335021</v>
      </c>
      <c r="G419" s="4">
        <v>189636</v>
      </c>
      <c r="H419" s="4">
        <v>78592</v>
      </c>
      <c r="I419" s="3" t="s">
        <v>23</v>
      </c>
      <c r="J419" s="3" t="s">
        <v>17</v>
      </c>
    </row>
    <row r="420" spans="1:10" x14ac:dyDescent="0.3">
      <c r="A420" s="3" t="s">
        <v>954</v>
      </c>
      <c r="B420" s="3" t="s">
        <v>1509</v>
      </c>
      <c r="C420" s="3" t="s">
        <v>21</v>
      </c>
      <c r="D420" s="3">
        <v>39.868583162217661</v>
      </c>
      <c r="E420" s="3" t="s">
        <v>59</v>
      </c>
      <c r="F420" s="4">
        <v>3120</v>
      </c>
      <c r="G420" s="4">
        <v>60865</v>
      </c>
      <c r="H420" s="4">
        <v>55781</v>
      </c>
      <c r="I420" s="3" t="s">
        <v>23</v>
      </c>
      <c r="J420" s="3" t="s">
        <v>17</v>
      </c>
    </row>
    <row r="421" spans="1:10" x14ac:dyDescent="0.3">
      <c r="A421" s="3" t="s">
        <v>956</v>
      </c>
      <c r="B421" s="3" t="s">
        <v>1510</v>
      </c>
      <c r="C421" s="3" t="s">
        <v>14</v>
      </c>
      <c r="D421" s="3">
        <v>51</v>
      </c>
      <c r="E421" s="3" t="s">
        <v>22</v>
      </c>
      <c r="F421" s="4">
        <v>270148</v>
      </c>
      <c r="G421" s="4">
        <v>147407</v>
      </c>
      <c r="H421" s="4">
        <v>86190</v>
      </c>
      <c r="I421" s="3" t="s">
        <v>16</v>
      </c>
      <c r="J421" s="3" t="s">
        <v>24</v>
      </c>
    </row>
    <row r="422" spans="1:10" x14ac:dyDescent="0.3">
      <c r="A422" s="3" t="s">
        <v>957</v>
      </c>
      <c r="B422" s="3" t="s">
        <v>1511</v>
      </c>
      <c r="C422" s="3" t="s">
        <v>58</v>
      </c>
      <c r="D422" s="3">
        <v>51</v>
      </c>
      <c r="E422" s="3" t="s">
        <v>59</v>
      </c>
      <c r="F422" s="4">
        <v>384139</v>
      </c>
      <c r="G422" s="4">
        <v>265224</v>
      </c>
      <c r="H422" s="4">
        <v>143410</v>
      </c>
      <c r="I422" s="3" t="s">
        <v>23</v>
      </c>
      <c r="J422" s="3" t="s">
        <v>17</v>
      </c>
    </row>
    <row r="423" spans="1:10" x14ac:dyDescent="0.3">
      <c r="A423" s="3" t="s">
        <v>958</v>
      </c>
      <c r="B423" s="3" t="s">
        <v>1512</v>
      </c>
      <c r="C423" s="3" t="s">
        <v>44</v>
      </c>
      <c r="D423" s="3">
        <v>51</v>
      </c>
      <c r="E423" s="3" t="s">
        <v>22</v>
      </c>
      <c r="F423" s="4">
        <v>156167</v>
      </c>
      <c r="G423" s="4">
        <v>122203</v>
      </c>
      <c r="H423" s="4">
        <v>89240</v>
      </c>
      <c r="I423" s="3" t="s">
        <v>16</v>
      </c>
      <c r="J423" s="3" t="s">
        <v>24</v>
      </c>
    </row>
    <row r="424" spans="1:10" x14ac:dyDescent="0.3">
      <c r="A424" s="3" t="s">
        <v>960</v>
      </c>
      <c r="B424" s="3" t="s">
        <v>1513</v>
      </c>
      <c r="C424" s="3" t="s">
        <v>58</v>
      </c>
      <c r="D424" s="3">
        <v>54</v>
      </c>
      <c r="E424" s="3" t="s">
        <v>59</v>
      </c>
      <c r="F424" s="4">
        <v>341982</v>
      </c>
      <c r="G424" s="4">
        <v>49399</v>
      </c>
      <c r="H424" s="4">
        <v>80710</v>
      </c>
      <c r="I424" s="3" t="s">
        <v>16</v>
      </c>
      <c r="J424" s="3" t="s">
        <v>17</v>
      </c>
    </row>
    <row r="425" spans="1:10" x14ac:dyDescent="0.3">
      <c r="A425" s="3" t="s">
        <v>963</v>
      </c>
      <c r="B425" s="3" t="s">
        <v>1514</v>
      </c>
      <c r="C425" s="3" t="s">
        <v>48</v>
      </c>
      <c r="D425" s="3">
        <v>54</v>
      </c>
      <c r="E425" s="3" t="s">
        <v>59</v>
      </c>
      <c r="F425" s="4">
        <v>145773</v>
      </c>
      <c r="G425" s="4">
        <v>222329</v>
      </c>
      <c r="H425" s="4">
        <v>64379</v>
      </c>
      <c r="I425" s="3" t="s">
        <v>16</v>
      </c>
      <c r="J425" s="3" t="s">
        <v>17</v>
      </c>
    </row>
    <row r="426" spans="1:10" x14ac:dyDescent="0.3">
      <c r="A426" s="3" t="s">
        <v>964</v>
      </c>
      <c r="B426" s="3" t="s">
        <v>1515</v>
      </c>
      <c r="C426" s="3" t="s">
        <v>58</v>
      </c>
      <c r="D426" s="3">
        <v>42</v>
      </c>
      <c r="E426" s="3" t="s">
        <v>59</v>
      </c>
      <c r="F426" s="4">
        <v>462970</v>
      </c>
      <c r="G426" s="4">
        <v>114807</v>
      </c>
      <c r="H426" s="4">
        <v>35741</v>
      </c>
      <c r="I426" s="3" t="s">
        <v>16</v>
      </c>
      <c r="J426" s="3" t="s">
        <v>17</v>
      </c>
    </row>
    <row r="427" spans="1:10" x14ac:dyDescent="0.3">
      <c r="A427" s="3" t="s">
        <v>965</v>
      </c>
      <c r="B427" s="3" t="s">
        <v>1516</v>
      </c>
      <c r="C427" s="3" t="s">
        <v>44</v>
      </c>
      <c r="D427" s="3">
        <v>30</v>
      </c>
      <c r="E427" s="3" t="s">
        <v>1590</v>
      </c>
      <c r="F427" s="4">
        <v>433730</v>
      </c>
      <c r="G427" s="4">
        <v>79679</v>
      </c>
      <c r="H427" s="4">
        <v>90098</v>
      </c>
      <c r="I427" s="3" t="s">
        <v>23</v>
      </c>
      <c r="J427" s="3" t="s">
        <v>24</v>
      </c>
    </row>
    <row r="428" spans="1:10" x14ac:dyDescent="0.3">
      <c r="A428" s="3" t="s">
        <v>966</v>
      </c>
      <c r="B428" s="3" t="s">
        <v>1517</v>
      </c>
      <c r="C428" s="3" t="s">
        <v>21</v>
      </c>
      <c r="D428" s="3">
        <v>52</v>
      </c>
      <c r="E428" s="3" t="s">
        <v>22</v>
      </c>
      <c r="F428" s="4">
        <v>244150</v>
      </c>
      <c r="G428" s="4">
        <v>95455</v>
      </c>
      <c r="H428" s="4">
        <v>131429</v>
      </c>
      <c r="I428" s="3" t="s">
        <v>33</v>
      </c>
      <c r="J428" s="3" t="s">
        <v>17</v>
      </c>
    </row>
    <row r="429" spans="1:10" x14ac:dyDescent="0.3">
      <c r="A429" s="3" t="s">
        <v>967</v>
      </c>
      <c r="B429" s="3" t="s">
        <v>1518</v>
      </c>
      <c r="C429" s="3" t="s">
        <v>48</v>
      </c>
      <c r="D429" s="3">
        <v>38</v>
      </c>
      <c r="E429" s="3" t="s">
        <v>1590</v>
      </c>
      <c r="F429" s="4">
        <v>26949</v>
      </c>
      <c r="G429" s="4">
        <v>113838</v>
      </c>
      <c r="H429" s="4">
        <v>10347</v>
      </c>
      <c r="I429" s="3" t="s">
        <v>33</v>
      </c>
      <c r="J429" s="3" t="s">
        <v>24</v>
      </c>
    </row>
    <row r="430" spans="1:10" x14ac:dyDescent="0.3">
      <c r="A430" s="3" t="s">
        <v>969</v>
      </c>
      <c r="B430" s="3" t="s">
        <v>1519</v>
      </c>
      <c r="C430" s="3" t="s">
        <v>48</v>
      </c>
      <c r="D430" s="3">
        <v>53</v>
      </c>
      <c r="E430" s="3" t="s">
        <v>59</v>
      </c>
      <c r="F430" s="4">
        <v>384132</v>
      </c>
      <c r="G430" s="4">
        <v>101988</v>
      </c>
      <c r="H430" s="4">
        <v>70297</v>
      </c>
      <c r="I430" s="3" t="s">
        <v>16</v>
      </c>
      <c r="J430" s="3" t="s">
        <v>24</v>
      </c>
    </row>
    <row r="431" spans="1:10" x14ac:dyDescent="0.3">
      <c r="A431" s="3" t="s">
        <v>970</v>
      </c>
      <c r="B431" s="3" t="s">
        <v>1520</v>
      </c>
      <c r="C431" s="3" t="s">
        <v>14</v>
      </c>
      <c r="D431" s="3">
        <v>28</v>
      </c>
      <c r="E431" s="3" t="s">
        <v>59</v>
      </c>
      <c r="F431" s="4">
        <v>233988</v>
      </c>
      <c r="G431" s="4">
        <v>76289</v>
      </c>
      <c r="H431" s="4">
        <v>83238</v>
      </c>
      <c r="I431" s="3" t="s">
        <v>16</v>
      </c>
      <c r="J431" s="3" t="s">
        <v>24</v>
      </c>
    </row>
    <row r="432" spans="1:10" x14ac:dyDescent="0.3">
      <c r="A432" s="3" t="s">
        <v>971</v>
      </c>
      <c r="B432" s="3" t="s">
        <v>1521</v>
      </c>
      <c r="C432" s="3" t="s">
        <v>21</v>
      </c>
      <c r="D432" s="3">
        <v>39.868583162217661</v>
      </c>
      <c r="E432" s="3" t="s">
        <v>1590</v>
      </c>
      <c r="F432" s="4">
        <v>425750</v>
      </c>
      <c r="G432" s="4">
        <v>23446</v>
      </c>
      <c r="H432" s="4">
        <v>42723</v>
      </c>
      <c r="I432" s="3" t="s">
        <v>23</v>
      </c>
      <c r="J432" s="3" t="s">
        <v>17</v>
      </c>
    </row>
    <row r="433" spans="1:10" x14ac:dyDescent="0.3">
      <c r="A433" s="3" t="s">
        <v>973</v>
      </c>
      <c r="B433" s="3" t="s">
        <v>1522</v>
      </c>
      <c r="C433" s="3" t="s">
        <v>44</v>
      </c>
      <c r="D433" s="3">
        <v>54</v>
      </c>
      <c r="E433" s="3" t="s">
        <v>22</v>
      </c>
      <c r="F433" s="4">
        <v>476633</v>
      </c>
      <c r="G433" s="4">
        <v>194437</v>
      </c>
      <c r="H433" s="4">
        <v>68861</v>
      </c>
      <c r="I433" s="3" t="s">
        <v>23</v>
      </c>
      <c r="J433" s="3" t="s">
        <v>24</v>
      </c>
    </row>
    <row r="434" spans="1:10" x14ac:dyDescent="0.3">
      <c r="A434" s="3" t="s">
        <v>975</v>
      </c>
      <c r="B434" s="3" t="s">
        <v>1523</v>
      </c>
      <c r="C434" s="3" t="s">
        <v>21</v>
      </c>
      <c r="D434" s="3">
        <v>30</v>
      </c>
      <c r="E434" s="3" t="s">
        <v>59</v>
      </c>
      <c r="F434" s="4">
        <v>118089</v>
      </c>
      <c r="G434" s="4">
        <v>284184</v>
      </c>
      <c r="H434" s="4">
        <v>50039</v>
      </c>
      <c r="I434" s="3" t="s">
        <v>16</v>
      </c>
      <c r="J434" s="3" t="s">
        <v>24</v>
      </c>
    </row>
    <row r="435" spans="1:10" x14ac:dyDescent="0.3">
      <c r="A435" s="3" t="s">
        <v>976</v>
      </c>
      <c r="B435" s="3" t="s">
        <v>1524</v>
      </c>
      <c r="C435" s="3" t="s">
        <v>14</v>
      </c>
      <c r="D435" s="3">
        <v>29</v>
      </c>
      <c r="E435" s="3" t="s">
        <v>59</v>
      </c>
      <c r="F435" s="4">
        <v>498913</v>
      </c>
      <c r="G435" s="4">
        <v>201506</v>
      </c>
      <c r="H435" s="4">
        <v>61392</v>
      </c>
      <c r="I435" s="3" t="s">
        <v>33</v>
      </c>
      <c r="J435" s="3" t="s">
        <v>17</v>
      </c>
    </row>
    <row r="436" spans="1:10" x14ac:dyDescent="0.3">
      <c r="A436" s="3" t="s">
        <v>978</v>
      </c>
      <c r="B436" s="3" t="s">
        <v>1525</v>
      </c>
      <c r="C436" s="3" t="s">
        <v>58</v>
      </c>
      <c r="D436" s="3">
        <v>43</v>
      </c>
      <c r="E436" s="3" t="s">
        <v>22</v>
      </c>
      <c r="F436" s="4">
        <v>233107</v>
      </c>
      <c r="G436" s="4">
        <v>227289</v>
      </c>
      <c r="H436" s="4">
        <v>11533</v>
      </c>
      <c r="I436" s="3" t="s">
        <v>16</v>
      </c>
      <c r="J436" s="3" t="s">
        <v>17</v>
      </c>
    </row>
    <row r="437" spans="1:10" x14ac:dyDescent="0.3">
      <c r="A437" s="3" t="s">
        <v>979</v>
      </c>
      <c r="B437" s="3" t="s">
        <v>1526</v>
      </c>
      <c r="C437" s="3" t="s">
        <v>14</v>
      </c>
      <c r="D437" s="3">
        <v>30</v>
      </c>
      <c r="E437" s="3" t="s">
        <v>59</v>
      </c>
      <c r="F437" s="4">
        <v>188588</v>
      </c>
      <c r="G437" s="4">
        <v>276260</v>
      </c>
      <c r="H437" s="4">
        <v>12660</v>
      </c>
      <c r="I437" s="3" t="s">
        <v>23</v>
      </c>
      <c r="J437" s="3" t="s">
        <v>17</v>
      </c>
    </row>
    <row r="438" spans="1:10" x14ac:dyDescent="0.3">
      <c r="A438" s="3" t="s">
        <v>981</v>
      </c>
      <c r="B438" s="3" t="s">
        <v>1527</v>
      </c>
      <c r="C438" s="3" t="s">
        <v>14</v>
      </c>
      <c r="D438" s="3">
        <v>47</v>
      </c>
      <c r="E438" s="3" t="s">
        <v>1590</v>
      </c>
      <c r="F438" s="4">
        <v>442730</v>
      </c>
      <c r="G438" s="4">
        <v>149951</v>
      </c>
      <c r="H438" s="4">
        <v>39540</v>
      </c>
      <c r="I438" s="3" t="s">
        <v>16</v>
      </c>
      <c r="J438" s="3" t="s">
        <v>24</v>
      </c>
    </row>
    <row r="439" spans="1:10" x14ac:dyDescent="0.3">
      <c r="A439" s="3" t="s">
        <v>982</v>
      </c>
      <c r="B439" s="3" t="s">
        <v>1528</v>
      </c>
      <c r="C439" s="3" t="s">
        <v>21</v>
      </c>
      <c r="D439" s="3">
        <v>36</v>
      </c>
      <c r="E439" s="3" t="s">
        <v>22</v>
      </c>
      <c r="F439" s="4">
        <v>5206</v>
      </c>
      <c r="G439" s="4">
        <v>9335</v>
      </c>
      <c r="H439" s="4">
        <v>117748</v>
      </c>
      <c r="I439" s="3" t="s">
        <v>23</v>
      </c>
      <c r="J439" s="3" t="s">
        <v>17</v>
      </c>
    </row>
    <row r="440" spans="1:10" x14ac:dyDescent="0.3">
      <c r="A440" s="3" t="s">
        <v>984</v>
      </c>
      <c r="B440" s="3" t="s">
        <v>1529</v>
      </c>
      <c r="C440" s="3" t="s">
        <v>21</v>
      </c>
      <c r="D440" s="3">
        <v>54</v>
      </c>
      <c r="E440" s="3" t="s">
        <v>22</v>
      </c>
      <c r="F440" s="4">
        <v>467112</v>
      </c>
      <c r="G440" s="4">
        <v>123600</v>
      </c>
      <c r="H440" s="4">
        <v>10020</v>
      </c>
      <c r="I440" s="3" t="s">
        <v>23</v>
      </c>
      <c r="J440" s="3" t="s">
        <v>17</v>
      </c>
    </row>
    <row r="441" spans="1:10" x14ac:dyDescent="0.3">
      <c r="A441" s="3" t="s">
        <v>987</v>
      </c>
      <c r="B441" s="3" t="s">
        <v>1530</v>
      </c>
      <c r="C441" s="3" t="s">
        <v>21</v>
      </c>
      <c r="D441" s="3">
        <v>31</v>
      </c>
      <c r="E441" s="3" t="s">
        <v>22</v>
      </c>
      <c r="F441" s="4">
        <v>252076.51219512196</v>
      </c>
      <c r="G441" s="4">
        <v>262289</v>
      </c>
      <c r="H441" s="4">
        <v>77480</v>
      </c>
      <c r="I441" s="3" t="s">
        <v>33</v>
      </c>
      <c r="J441" s="3" t="s">
        <v>24</v>
      </c>
    </row>
    <row r="442" spans="1:10" x14ac:dyDescent="0.3">
      <c r="A442" s="3" t="s">
        <v>989</v>
      </c>
      <c r="B442" s="3" t="s">
        <v>1531</v>
      </c>
      <c r="C442" s="3" t="s">
        <v>14</v>
      </c>
      <c r="D442" s="3">
        <v>31</v>
      </c>
      <c r="E442" s="3" t="s">
        <v>59</v>
      </c>
      <c r="F442" s="4">
        <v>208769</v>
      </c>
      <c r="G442" s="4">
        <v>219484</v>
      </c>
      <c r="H442" s="4">
        <v>19960</v>
      </c>
      <c r="I442" s="3" t="s">
        <v>33</v>
      </c>
      <c r="J442" s="3" t="s">
        <v>17</v>
      </c>
    </row>
    <row r="443" spans="1:10" x14ac:dyDescent="0.3">
      <c r="A443" s="3" t="s">
        <v>991</v>
      </c>
      <c r="B443" s="3" t="s">
        <v>1532</v>
      </c>
      <c r="C443" s="3" t="s">
        <v>48</v>
      </c>
      <c r="D443" s="3">
        <v>42</v>
      </c>
      <c r="E443" s="3" t="s">
        <v>59</v>
      </c>
      <c r="F443" s="4">
        <v>160398</v>
      </c>
      <c r="G443" s="4">
        <v>124211.14285714286</v>
      </c>
      <c r="H443" s="4">
        <v>75311</v>
      </c>
      <c r="I443" s="3" t="s">
        <v>16</v>
      </c>
      <c r="J443" s="3" t="s">
        <v>24</v>
      </c>
    </row>
    <row r="444" spans="1:10" x14ac:dyDescent="0.3">
      <c r="A444" s="3" t="s">
        <v>993</v>
      </c>
      <c r="B444" s="3" t="s">
        <v>1533</v>
      </c>
      <c r="C444" s="3" t="s">
        <v>48</v>
      </c>
      <c r="D444" s="3">
        <v>54</v>
      </c>
      <c r="E444" s="3" t="s">
        <v>22</v>
      </c>
      <c r="F444" s="4">
        <v>353967</v>
      </c>
      <c r="G444" s="4">
        <v>197795</v>
      </c>
      <c r="H444" s="4">
        <v>36339</v>
      </c>
      <c r="I444" s="3" t="s">
        <v>16</v>
      </c>
      <c r="J444" s="3" t="s">
        <v>24</v>
      </c>
    </row>
    <row r="445" spans="1:10" x14ac:dyDescent="0.3">
      <c r="A445" s="3" t="s">
        <v>994</v>
      </c>
      <c r="B445" s="3" t="s">
        <v>1534</v>
      </c>
      <c r="C445" s="3" t="s">
        <v>14</v>
      </c>
      <c r="D445" s="3">
        <v>41</v>
      </c>
      <c r="E445" s="3" t="s">
        <v>22</v>
      </c>
      <c r="F445" s="4">
        <v>126073</v>
      </c>
      <c r="G445" s="4">
        <v>78410</v>
      </c>
      <c r="H445" s="4">
        <v>130308</v>
      </c>
      <c r="I445" s="3" t="s">
        <v>16</v>
      </c>
      <c r="J445" s="3" t="s">
        <v>24</v>
      </c>
    </row>
    <row r="446" spans="1:10" x14ac:dyDescent="0.3">
      <c r="A446" s="3" t="s">
        <v>995</v>
      </c>
      <c r="B446" s="3" t="s">
        <v>1535</v>
      </c>
      <c r="C446" s="3" t="s">
        <v>44</v>
      </c>
      <c r="D446" s="3">
        <v>40</v>
      </c>
      <c r="E446" s="3" t="s">
        <v>22</v>
      </c>
      <c r="F446" s="4">
        <v>395938</v>
      </c>
      <c r="G446" s="4">
        <v>153610.86666666667</v>
      </c>
      <c r="H446" s="4">
        <v>73401</v>
      </c>
      <c r="I446" s="3" t="s">
        <v>33</v>
      </c>
      <c r="J446" s="3" t="s">
        <v>24</v>
      </c>
    </row>
    <row r="447" spans="1:10" x14ac:dyDescent="0.3">
      <c r="A447" s="3" t="s">
        <v>998</v>
      </c>
      <c r="B447" s="3" t="s">
        <v>1536</v>
      </c>
      <c r="C447" s="3" t="s">
        <v>58</v>
      </c>
      <c r="D447" s="3">
        <v>53</v>
      </c>
      <c r="E447" s="3" t="s">
        <v>22</v>
      </c>
      <c r="F447" s="4">
        <v>272651</v>
      </c>
      <c r="G447" s="4">
        <v>230009</v>
      </c>
      <c r="H447" s="4">
        <v>133911</v>
      </c>
      <c r="I447" s="3" t="s">
        <v>16</v>
      </c>
      <c r="J447" s="3" t="s">
        <v>17</v>
      </c>
    </row>
    <row r="448" spans="1:10" x14ac:dyDescent="0.3">
      <c r="A448" s="3" t="s">
        <v>1000</v>
      </c>
      <c r="B448" s="3" t="s">
        <v>1537</v>
      </c>
      <c r="C448" s="3" t="s">
        <v>14</v>
      </c>
      <c r="D448" s="3">
        <v>43</v>
      </c>
      <c r="E448" s="3" t="s">
        <v>22</v>
      </c>
      <c r="F448" s="4">
        <v>252076.51219512196</v>
      </c>
      <c r="G448" s="4">
        <v>129394</v>
      </c>
      <c r="H448" s="4">
        <v>85604</v>
      </c>
      <c r="I448" s="3" t="s">
        <v>33</v>
      </c>
      <c r="J448" s="3" t="s">
        <v>24</v>
      </c>
    </row>
    <row r="449" spans="1:10" x14ac:dyDescent="0.3">
      <c r="A449" s="3" t="s">
        <v>1003</v>
      </c>
      <c r="B449" s="3" t="s">
        <v>1538</v>
      </c>
      <c r="C449" s="3" t="s">
        <v>44</v>
      </c>
      <c r="D449" s="3">
        <v>56</v>
      </c>
      <c r="E449" s="3" t="s">
        <v>59</v>
      </c>
      <c r="F449" s="4">
        <v>499118</v>
      </c>
      <c r="G449" s="4">
        <v>43309</v>
      </c>
      <c r="H449" s="4">
        <v>34957</v>
      </c>
      <c r="I449" s="3" t="s">
        <v>23</v>
      </c>
      <c r="J449" s="3" t="s">
        <v>17</v>
      </c>
    </row>
    <row r="450" spans="1:10" x14ac:dyDescent="0.3">
      <c r="A450" s="3" t="s">
        <v>1004</v>
      </c>
      <c r="B450" s="3" t="s">
        <v>1539</v>
      </c>
      <c r="C450" s="3" t="s">
        <v>48</v>
      </c>
      <c r="D450" s="3">
        <v>41</v>
      </c>
      <c r="E450" s="3" t="s">
        <v>59</v>
      </c>
      <c r="F450" s="4">
        <v>200223</v>
      </c>
      <c r="G450" s="4">
        <v>17373</v>
      </c>
      <c r="H450" s="4">
        <v>106627</v>
      </c>
      <c r="I450" s="3" t="s">
        <v>23</v>
      </c>
      <c r="J450" s="3" t="s">
        <v>17</v>
      </c>
    </row>
    <row r="451" spans="1:10" x14ac:dyDescent="0.3">
      <c r="A451" s="3" t="s">
        <v>1006</v>
      </c>
      <c r="B451" s="3" t="s">
        <v>1540</v>
      </c>
      <c r="C451" s="3" t="s">
        <v>44</v>
      </c>
      <c r="D451" s="3">
        <v>57</v>
      </c>
      <c r="E451" s="3" t="s">
        <v>1590</v>
      </c>
      <c r="F451" s="4">
        <v>106546</v>
      </c>
      <c r="G451" s="4">
        <v>48386</v>
      </c>
      <c r="H451" s="4">
        <v>19370</v>
      </c>
      <c r="I451" s="3" t="s">
        <v>33</v>
      </c>
      <c r="J451" s="3" t="s">
        <v>17</v>
      </c>
    </row>
    <row r="452" spans="1:10" x14ac:dyDescent="0.3">
      <c r="A452" s="3" t="s">
        <v>1008</v>
      </c>
      <c r="B452" s="3" t="s">
        <v>1541</v>
      </c>
      <c r="C452" s="3" t="s">
        <v>58</v>
      </c>
      <c r="D452" s="3">
        <v>32</v>
      </c>
      <c r="E452" s="3" t="s">
        <v>59</v>
      </c>
      <c r="F452" s="4">
        <v>454929</v>
      </c>
      <c r="G452" s="4">
        <v>97274</v>
      </c>
      <c r="H452" s="4">
        <v>43181</v>
      </c>
      <c r="I452" s="3" t="s">
        <v>16</v>
      </c>
      <c r="J452" s="3" t="s">
        <v>24</v>
      </c>
    </row>
    <row r="453" spans="1:10" x14ac:dyDescent="0.3">
      <c r="A453" s="3" t="s">
        <v>1010</v>
      </c>
      <c r="B453" s="3" t="s">
        <v>1542</v>
      </c>
      <c r="C453" s="3" t="s">
        <v>58</v>
      </c>
      <c r="D453" s="3">
        <v>58</v>
      </c>
      <c r="E453" s="3" t="s">
        <v>22</v>
      </c>
      <c r="F453" s="4">
        <v>395891</v>
      </c>
      <c r="G453" s="4">
        <v>70291</v>
      </c>
      <c r="H453" s="4">
        <v>84711</v>
      </c>
      <c r="I453" s="3" t="s">
        <v>23</v>
      </c>
      <c r="J453" s="3" t="s">
        <v>17</v>
      </c>
    </row>
    <row r="454" spans="1:10" x14ac:dyDescent="0.3">
      <c r="A454" s="3" t="s">
        <v>1011</v>
      </c>
      <c r="B454" s="3" t="s">
        <v>1543</v>
      </c>
      <c r="C454" s="3" t="s">
        <v>44</v>
      </c>
      <c r="D454" s="3">
        <v>21</v>
      </c>
      <c r="E454" s="3" t="s">
        <v>1590</v>
      </c>
      <c r="F454" s="4">
        <v>252076.51219512196</v>
      </c>
      <c r="G454" s="4">
        <v>100143</v>
      </c>
      <c r="H454" s="4">
        <v>89160</v>
      </c>
      <c r="I454" s="3" t="s">
        <v>16</v>
      </c>
      <c r="J454" s="3" t="s">
        <v>24</v>
      </c>
    </row>
    <row r="455" spans="1:10" x14ac:dyDescent="0.3">
      <c r="A455" s="3" t="s">
        <v>1012</v>
      </c>
      <c r="B455" s="3" t="s">
        <v>1544</v>
      </c>
      <c r="C455" s="3" t="s">
        <v>21</v>
      </c>
      <c r="D455" s="3">
        <v>59</v>
      </c>
      <c r="E455" s="3" t="s">
        <v>59</v>
      </c>
      <c r="F455" s="4">
        <v>338713</v>
      </c>
      <c r="G455" s="4">
        <v>122238</v>
      </c>
      <c r="H455" s="4">
        <v>94579</v>
      </c>
      <c r="I455" s="3" t="s">
        <v>23</v>
      </c>
      <c r="J455" s="3" t="s">
        <v>24</v>
      </c>
    </row>
    <row r="456" spans="1:10" x14ac:dyDescent="0.3">
      <c r="A456" s="3" t="s">
        <v>1013</v>
      </c>
      <c r="B456" s="3" t="s">
        <v>1545</v>
      </c>
      <c r="C456" s="3" t="s">
        <v>14</v>
      </c>
      <c r="D456" s="3">
        <v>56</v>
      </c>
      <c r="E456" s="3" t="s">
        <v>59</v>
      </c>
      <c r="F456" s="4">
        <v>345560</v>
      </c>
      <c r="G456" s="4">
        <v>285503</v>
      </c>
      <c r="H456" s="4">
        <v>144456</v>
      </c>
      <c r="I456" s="3" t="s">
        <v>23</v>
      </c>
      <c r="J456" s="3" t="s">
        <v>17</v>
      </c>
    </row>
    <row r="457" spans="1:10" x14ac:dyDescent="0.3">
      <c r="A457" s="3" t="s">
        <v>1014</v>
      </c>
      <c r="B457" s="3" t="s">
        <v>1546</v>
      </c>
      <c r="C457" s="3" t="s">
        <v>21</v>
      </c>
      <c r="D457" s="3">
        <v>39.868583162217661</v>
      </c>
      <c r="E457" s="3" t="s">
        <v>59</v>
      </c>
      <c r="F457" s="4">
        <v>15064</v>
      </c>
      <c r="G457" s="4">
        <v>158797</v>
      </c>
      <c r="H457" s="4">
        <v>136280</v>
      </c>
      <c r="I457" s="3" t="s">
        <v>16</v>
      </c>
      <c r="J457" s="3" t="s">
        <v>17</v>
      </c>
    </row>
    <row r="458" spans="1:10" x14ac:dyDescent="0.3">
      <c r="A458" s="3" t="s">
        <v>1016</v>
      </c>
      <c r="B458" s="3" t="s">
        <v>1547</v>
      </c>
      <c r="C458" s="3" t="s">
        <v>14</v>
      </c>
      <c r="D458" s="3">
        <v>23</v>
      </c>
      <c r="E458" s="3" t="s">
        <v>22</v>
      </c>
      <c r="F458" s="4">
        <v>304325</v>
      </c>
      <c r="G458" s="4">
        <v>50865</v>
      </c>
      <c r="H458" s="4">
        <v>31298</v>
      </c>
      <c r="I458" s="3" t="s">
        <v>23</v>
      </c>
      <c r="J458" s="3" t="s">
        <v>24</v>
      </c>
    </row>
    <row r="459" spans="1:10" x14ac:dyDescent="0.3">
      <c r="A459" s="3" t="s">
        <v>1017</v>
      </c>
      <c r="B459" s="3" t="s">
        <v>1548</v>
      </c>
      <c r="C459" s="3" t="s">
        <v>48</v>
      </c>
      <c r="D459" s="3">
        <v>31</v>
      </c>
      <c r="E459" s="3" t="s">
        <v>22</v>
      </c>
      <c r="F459" s="4">
        <v>290901</v>
      </c>
      <c r="G459" s="4">
        <v>109376</v>
      </c>
      <c r="H459" s="4">
        <v>17465</v>
      </c>
      <c r="I459" s="3" t="s">
        <v>33</v>
      </c>
      <c r="J459" s="3" t="s">
        <v>24</v>
      </c>
    </row>
    <row r="460" spans="1:10" x14ac:dyDescent="0.3">
      <c r="A460" s="3" t="s">
        <v>1019</v>
      </c>
      <c r="B460" s="3" t="s">
        <v>1549</v>
      </c>
      <c r="C460" s="3" t="s">
        <v>14</v>
      </c>
      <c r="D460" s="3">
        <v>28</v>
      </c>
      <c r="E460" s="3" t="s">
        <v>59</v>
      </c>
      <c r="F460" s="4">
        <v>448148</v>
      </c>
      <c r="G460" s="4">
        <v>129472</v>
      </c>
      <c r="H460" s="4">
        <v>71159</v>
      </c>
      <c r="I460" s="3" t="s">
        <v>23</v>
      </c>
      <c r="J460" s="3" t="s">
        <v>17</v>
      </c>
    </row>
    <row r="461" spans="1:10" x14ac:dyDescent="0.3">
      <c r="A461" s="3" t="s">
        <v>1020</v>
      </c>
      <c r="B461" s="3" t="s">
        <v>1550</v>
      </c>
      <c r="C461" s="3" t="s">
        <v>14</v>
      </c>
      <c r="D461" s="3">
        <v>43</v>
      </c>
      <c r="E461" s="3" t="s">
        <v>1590</v>
      </c>
      <c r="F461" s="4">
        <v>133754</v>
      </c>
      <c r="G461" s="4">
        <v>14974</v>
      </c>
      <c r="H461" s="4">
        <v>61094</v>
      </c>
      <c r="I461" s="3" t="s">
        <v>16</v>
      </c>
      <c r="J461" s="3" t="s">
        <v>17</v>
      </c>
    </row>
    <row r="462" spans="1:10" x14ac:dyDescent="0.3">
      <c r="A462" s="3" t="s">
        <v>1022</v>
      </c>
      <c r="B462" s="3" t="s">
        <v>1551</v>
      </c>
      <c r="C462" s="3" t="s">
        <v>21</v>
      </c>
      <c r="D462" s="3">
        <v>39</v>
      </c>
      <c r="E462" s="3" t="s">
        <v>22</v>
      </c>
      <c r="F462" s="4">
        <v>332729</v>
      </c>
      <c r="G462" s="4">
        <v>238702</v>
      </c>
      <c r="H462" s="4">
        <v>87084</v>
      </c>
      <c r="I462" s="3" t="s">
        <v>33</v>
      </c>
      <c r="J462" s="3" t="s">
        <v>24</v>
      </c>
    </row>
    <row r="463" spans="1:10" x14ac:dyDescent="0.3">
      <c r="A463" s="3" t="s">
        <v>1024</v>
      </c>
      <c r="B463" s="3" t="s">
        <v>1552</v>
      </c>
      <c r="C463" s="3" t="s">
        <v>21</v>
      </c>
      <c r="D463" s="3">
        <v>51</v>
      </c>
      <c r="E463" s="3" t="s">
        <v>59</v>
      </c>
      <c r="F463" s="4">
        <v>10701</v>
      </c>
      <c r="G463" s="4">
        <v>112697</v>
      </c>
      <c r="H463" s="4">
        <v>50046</v>
      </c>
      <c r="I463" s="3" t="s">
        <v>23</v>
      </c>
      <c r="J463" s="3" t="s">
        <v>17</v>
      </c>
    </row>
    <row r="464" spans="1:10" x14ac:dyDescent="0.3">
      <c r="A464" s="3" t="s">
        <v>1027</v>
      </c>
      <c r="B464" s="3" t="s">
        <v>1553</v>
      </c>
      <c r="C464" s="3" t="s">
        <v>14</v>
      </c>
      <c r="D464" s="3">
        <v>33</v>
      </c>
      <c r="E464" s="3" t="s">
        <v>22</v>
      </c>
      <c r="F464" s="4">
        <v>398841</v>
      </c>
      <c r="G464" s="4">
        <v>27530</v>
      </c>
      <c r="H464" s="4">
        <v>97627</v>
      </c>
      <c r="I464" s="3" t="s">
        <v>33</v>
      </c>
      <c r="J464" s="3" t="s">
        <v>24</v>
      </c>
    </row>
    <row r="465" spans="1:10" x14ac:dyDescent="0.3">
      <c r="A465" s="3" t="s">
        <v>1029</v>
      </c>
      <c r="B465" s="3" t="s">
        <v>1554</v>
      </c>
      <c r="C465" s="3" t="s">
        <v>48</v>
      </c>
      <c r="D465" s="3">
        <v>26</v>
      </c>
      <c r="E465" s="3" t="s">
        <v>59</v>
      </c>
      <c r="F465" s="4">
        <v>56857</v>
      </c>
      <c r="G465" s="4">
        <v>210581</v>
      </c>
      <c r="H465" s="4">
        <v>105256</v>
      </c>
      <c r="I465" s="3" t="s">
        <v>16</v>
      </c>
      <c r="J465" s="3" t="s">
        <v>24</v>
      </c>
    </row>
    <row r="466" spans="1:10" x14ac:dyDescent="0.3">
      <c r="A466" s="3" t="s">
        <v>1030</v>
      </c>
      <c r="B466" s="3" t="s">
        <v>1555</v>
      </c>
      <c r="C466" s="3" t="s">
        <v>14</v>
      </c>
      <c r="D466" s="3">
        <v>43</v>
      </c>
      <c r="E466" s="3" t="s">
        <v>22</v>
      </c>
      <c r="F466" s="4">
        <v>467881</v>
      </c>
      <c r="G466" s="4">
        <v>267339</v>
      </c>
      <c r="H466" s="4">
        <v>147297</v>
      </c>
      <c r="I466" s="3" t="s">
        <v>33</v>
      </c>
      <c r="J466" s="3" t="s">
        <v>24</v>
      </c>
    </row>
    <row r="467" spans="1:10" x14ac:dyDescent="0.3">
      <c r="A467" s="3" t="s">
        <v>1031</v>
      </c>
      <c r="B467" s="3" t="s">
        <v>1556</v>
      </c>
      <c r="C467" s="3" t="s">
        <v>48</v>
      </c>
      <c r="D467" s="3">
        <v>35</v>
      </c>
      <c r="E467" s="3" t="s">
        <v>59</v>
      </c>
      <c r="F467" s="4">
        <v>246314</v>
      </c>
      <c r="G467" s="4">
        <v>114799</v>
      </c>
      <c r="H467" s="4">
        <v>22592</v>
      </c>
      <c r="I467" s="3" t="s">
        <v>33</v>
      </c>
      <c r="J467" s="3" t="s">
        <v>17</v>
      </c>
    </row>
    <row r="468" spans="1:10" x14ac:dyDescent="0.3">
      <c r="A468" s="3" t="s">
        <v>1033</v>
      </c>
      <c r="B468" s="3" t="s">
        <v>1557</v>
      </c>
      <c r="C468" s="3" t="s">
        <v>48</v>
      </c>
      <c r="D468" s="3">
        <v>56</v>
      </c>
      <c r="E468" s="3" t="s">
        <v>59</v>
      </c>
      <c r="F468" s="4">
        <v>143643</v>
      </c>
      <c r="G468" s="4">
        <v>181898</v>
      </c>
      <c r="H468" s="4">
        <v>122614</v>
      </c>
      <c r="I468" s="3" t="s">
        <v>16</v>
      </c>
      <c r="J468" s="3" t="s">
        <v>24</v>
      </c>
    </row>
    <row r="469" spans="1:10" x14ac:dyDescent="0.3">
      <c r="A469" s="3" t="s">
        <v>1034</v>
      </c>
      <c r="B469" s="3" t="s">
        <v>1558</v>
      </c>
      <c r="C469" s="3" t="s">
        <v>58</v>
      </c>
      <c r="D469" s="3">
        <v>33</v>
      </c>
      <c r="E469" s="3" t="s">
        <v>22</v>
      </c>
      <c r="F469" s="4">
        <v>373048</v>
      </c>
      <c r="G469" s="4">
        <v>141907</v>
      </c>
      <c r="H469" s="4">
        <v>104175</v>
      </c>
      <c r="I469" s="3" t="s">
        <v>23</v>
      </c>
      <c r="J469" s="3" t="s">
        <v>17</v>
      </c>
    </row>
    <row r="470" spans="1:10" x14ac:dyDescent="0.3">
      <c r="A470" s="3" t="s">
        <v>1035</v>
      </c>
      <c r="B470" s="3" t="s">
        <v>1559</v>
      </c>
      <c r="C470" s="3" t="s">
        <v>44</v>
      </c>
      <c r="D470" s="3">
        <v>35</v>
      </c>
      <c r="E470" s="3" t="s">
        <v>22</v>
      </c>
      <c r="F470" s="4">
        <v>445327</v>
      </c>
      <c r="G470" s="4">
        <v>118601</v>
      </c>
      <c r="H470" s="4">
        <v>51461</v>
      </c>
      <c r="I470" s="3" t="s">
        <v>23</v>
      </c>
      <c r="J470" s="3" t="s">
        <v>17</v>
      </c>
    </row>
    <row r="471" spans="1:10" x14ac:dyDescent="0.3">
      <c r="A471" s="3" t="s">
        <v>1037</v>
      </c>
      <c r="B471" s="3" t="s">
        <v>1560</v>
      </c>
      <c r="C471" s="3" t="s">
        <v>44</v>
      </c>
      <c r="D471" s="3">
        <v>39</v>
      </c>
      <c r="E471" s="3" t="s">
        <v>59</v>
      </c>
      <c r="F471" s="4">
        <v>22891</v>
      </c>
      <c r="G471" s="4">
        <v>189334</v>
      </c>
      <c r="H471" s="4">
        <v>67945</v>
      </c>
      <c r="I471" s="3" t="s">
        <v>16</v>
      </c>
      <c r="J471" s="3" t="s">
        <v>17</v>
      </c>
    </row>
    <row r="472" spans="1:10" x14ac:dyDescent="0.3">
      <c r="A472" s="3" t="s">
        <v>1039</v>
      </c>
      <c r="B472" s="3" t="s">
        <v>1561</v>
      </c>
      <c r="C472" s="3" t="s">
        <v>58</v>
      </c>
      <c r="D472" s="3">
        <v>23</v>
      </c>
      <c r="E472" s="3" t="s">
        <v>22</v>
      </c>
      <c r="F472" s="4">
        <v>182450</v>
      </c>
      <c r="G472" s="4">
        <v>1176</v>
      </c>
      <c r="H472" s="4">
        <v>125312</v>
      </c>
      <c r="I472" s="3" t="s">
        <v>16</v>
      </c>
      <c r="J472" s="3" t="s">
        <v>24</v>
      </c>
    </row>
    <row r="473" spans="1:10" x14ac:dyDescent="0.3">
      <c r="A473" s="3" t="s">
        <v>1042</v>
      </c>
      <c r="B473" s="3" t="s">
        <v>1562</v>
      </c>
      <c r="C473" s="3" t="s">
        <v>44</v>
      </c>
      <c r="D473" s="3">
        <v>55</v>
      </c>
      <c r="E473" s="3" t="s">
        <v>59</v>
      </c>
      <c r="F473" s="4">
        <v>481429</v>
      </c>
      <c r="G473" s="4">
        <v>254158</v>
      </c>
      <c r="H473" s="4">
        <v>100605</v>
      </c>
      <c r="I473" s="3" t="s">
        <v>23</v>
      </c>
      <c r="J473" s="3" t="s">
        <v>24</v>
      </c>
    </row>
    <row r="474" spans="1:10" x14ac:dyDescent="0.3">
      <c r="A474" s="3" t="s">
        <v>1044</v>
      </c>
      <c r="B474" s="3" t="s">
        <v>1563</v>
      </c>
      <c r="C474" s="3" t="s">
        <v>21</v>
      </c>
      <c r="D474" s="3">
        <v>56</v>
      </c>
      <c r="E474" s="3" t="s">
        <v>59</v>
      </c>
      <c r="F474" s="4">
        <v>90277</v>
      </c>
      <c r="G474" s="4">
        <v>138782</v>
      </c>
      <c r="H474" s="4">
        <v>60120</v>
      </c>
      <c r="I474" s="3" t="s">
        <v>23</v>
      </c>
      <c r="J474" s="3" t="s">
        <v>17</v>
      </c>
    </row>
    <row r="475" spans="1:10" x14ac:dyDescent="0.3">
      <c r="A475" s="3" t="s">
        <v>1046</v>
      </c>
      <c r="B475" s="3" t="s">
        <v>1564</v>
      </c>
      <c r="C475" s="3" t="s">
        <v>14</v>
      </c>
      <c r="D475" s="3">
        <v>38</v>
      </c>
      <c r="E475" s="3" t="s">
        <v>22</v>
      </c>
      <c r="F475" s="4">
        <v>22088</v>
      </c>
      <c r="G475" s="4">
        <v>272924</v>
      </c>
      <c r="H475" s="4">
        <v>52782</v>
      </c>
      <c r="I475" s="3" t="s">
        <v>16</v>
      </c>
      <c r="J475" s="3" t="s">
        <v>24</v>
      </c>
    </row>
    <row r="476" spans="1:10" x14ac:dyDescent="0.3">
      <c r="A476" s="3" t="s">
        <v>1047</v>
      </c>
      <c r="B476" s="3" t="s">
        <v>1565</v>
      </c>
      <c r="C476" s="3" t="s">
        <v>44</v>
      </c>
      <c r="D476" s="3">
        <v>35</v>
      </c>
      <c r="E476" s="3" t="s">
        <v>59</v>
      </c>
      <c r="F476" s="4">
        <v>352953</v>
      </c>
      <c r="G476" s="4">
        <v>25026</v>
      </c>
      <c r="H476" s="4">
        <v>93067</v>
      </c>
      <c r="I476" s="3" t="s">
        <v>23</v>
      </c>
      <c r="J476" s="3" t="s">
        <v>17</v>
      </c>
    </row>
    <row r="477" spans="1:10" x14ac:dyDescent="0.3">
      <c r="A477" s="3" t="s">
        <v>1049</v>
      </c>
      <c r="B477" s="3" t="s">
        <v>1566</v>
      </c>
      <c r="C477" s="3" t="s">
        <v>58</v>
      </c>
      <c r="D477" s="3">
        <v>56</v>
      </c>
      <c r="E477" s="3" t="s">
        <v>22</v>
      </c>
      <c r="F477" s="4">
        <v>443325</v>
      </c>
      <c r="G477" s="4">
        <v>25262</v>
      </c>
      <c r="H477" s="4">
        <v>125150</v>
      </c>
      <c r="I477" s="3" t="s">
        <v>23</v>
      </c>
      <c r="J477" s="3" t="s">
        <v>17</v>
      </c>
    </row>
    <row r="478" spans="1:10" x14ac:dyDescent="0.3">
      <c r="A478" s="3" t="s">
        <v>1051</v>
      </c>
      <c r="B478" s="3" t="s">
        <v>1567</v>
      </c>
      <c r="C478" s="3" t="s">
        <v>21</v>
      </c>
      <c r="D478" s="3">
        <v>39</v>
      </c>
      <c r="E478" s="3" t="s">
        <v>59</v>
      </c>
      <c r="F478" s="4">
        <v>77547</v>
      </c>
      <c r="G478" s="4">
        <v>31211</v>
      </c>
      <c r="H478" s="4">
        <v>76434</v>
      </c>
      <c r="I478" s="3" t="s">
        <v>16</v>
      </c>
      <c r="J478" s="3" t="s">
        <v>24</v>
      </c>
    </row>
    <row r="479" spans="1:10" x14ac:dyDescent="0.3">
      <c r="A479" s="3" t="s">
        <v>1054</v>
      </c>
      <c r="B479" s="3" t="s">
        <v>1568</v>
      </c>
      <c r="C479" s="3" t="s">
        <v>21</v>
      </c>
      <c r="D479" s="3">
        <v>51</v>
      </c>
      <c r="E479" s="3" t="s">
        <v>22</v>
      </c>
      <c r="F479" s="4">
        <v>15848</v>
      </c>
      <c r="G479" s="4">
        <v>287227</v>
      </c>
      <c r="H479" s="4">
        <v>60185</v>
      </c>
      <c r="I479" s="3" t="s">
        <v>33</v>
      </c>
      <c r="J479" s="3" t="s">
        <v>17</v>
      </c>
    </row>
    <row r="480" spans="1:10" x14ac:dyDescent="0.3">
      <c r="A480" s="3" t="s">
        <v>1056</v>
      </c>
      <c r="B480" s="3" t="s">
        <v>1569</v>
      </c>
      <c r="C480" s="3" t="s">
        <v>44</v>
      </c>
      <c r="D480" s="3">
        <v>55</v>
      </c>
      <c r="E480" s="3" t="s">
        <v>22</v>
      </c>
      <c r="F480" s="4">
        <v>348155</v>
      </c>
      <c r="G480" s="4">
        <v>147091.55555555556</v>
      </c>
      <c r="H480" s="4">
        <v>131143</v>
      </c>
      <c r="I480" s="3" t="s">
        <v>16</v>
      </c>
      <c r="J480" s="3" t="s">
        <v>17</v>
      </c>
    </row>
    <row r="481" spans="1:10" x14ac:dyDescent="0.3">
      <c r="A481" s="3" t="s">
        <v>1058</v>
      </c>
      <c r="B481" s="3" t="s">
        <v>1570</v>
      </c>
      <c r="C481" s="3" t="s">
        <v>58</v>
      </c>
      <c r="D481" s="3">
        <v>40</v>
      </c>
      <c r="E481" s="3" t="s">
        <v>22</v>
      </c>
      <c r="F481" s="4">
        <v>175382</v>
      </c>
      <c r="G481" s="4">
        <v>13905</v>
      </c>
      <c r="H481" s="4">
        <v>142445</v>
      </c>
      <c r="I481" s="3" t="s">
        <v>16</v>
      </c>
      <c r="J481" s="3" t="s">
        <v>24</v>
      </c>
    </row>
    <row r="482" spans="1:10" x14ac:dyDescent="0.3">
      <c r="A482" s="3" t="s">
        <v>1061</v>
      </c>
      <c r="B482" s="3" t="s">
        <v>1571</v>
      </c>
      <c r="C482" s="3" t="s">
        <v>21</v>
      </c>
      <c r="D482" s="3">
        <v>49</v>
      </c>
      <c r="E482" s="3" t="s">
        <v>22</v>
      </c>
      <c r="F482" s="4">
        <v>50264</v>
      </c>
      <c r="G482" s="4">
        <v>205756</v>
      </c>
      <c r="H482" s="4">
        <v>13873</v>
      </c>
      <c r="I482" s="3" t="s">
        <v>33</v>
      </c>
      <c r="J482" s="3" t="s">
        <v>17</v>
      </c>
    </row>
    <row r="483" spans="1:10" x14ac:dyDescent="0.3">
      <c r="A483" s="3" t="s">
        <v>1063</v>
      </c>
      <c r="B483" s="3" t="s">
        <v>1572</v>
      </c>
      <c r="C483" s="3" t="s">
        <v>44</v>
      </c>
      <c r="D483" s="3">
        <v>37</v>
      </c>
      <c r="E483" s="3" t="s">
        <v>1590</v>
      </c>
      <c r="F483" s="4">
        <v>327679</v>
      </c>
      <c r="G483" s="4">
        <v>65689</v>
      </c>
      <c r="H483" s="4">
        <v>128144</v>
      </c>
      <c r="I483" s="3" t="s">
        <v>16</v>
      </c>
      <c r="J483" s="3" t="s">
        <v>24</v>
      </c>
    </row>
    <row r="484" spans="1:10" x14ac:dyDescent="0.3">
      <c r="A484" s="3" t="s">
        <v>1064</v>
      </c>
      <c r="B484" s="3" t="s">
        <v>1573</v>
      </c>
      <c r="C484" s="3" t="s">
        <v>44</v>
      </c>
      <c r="D484" s="3">
        <v>50</v>
      </c>
      <c r="E484" s="3" t="s">
        <v>22</v>
      </c>
      <c r="F484" s="4">
        <v>252076.51219512196</v>
      </c>
      <c r="G484" s="4">
        <v>215259</v>
      </c>
      <c r="H484" s="4">
        <v>138761</v>
      </c>
      <c r="I484" s="3" t="s">
        <v>23</v>
      </c>
      <c r="J484" s="3" t="s">
        <v>17</v>
      </c>
    </row>
    <row r="485" spans="1:10" x14ac:dyDescent="0.3">
      <c r="A485" s="3" t="s">
        <v>1065</v>
      </c>
      <c r="B485" s="3" t="s">
        <v>1574</v>
      </c>
      <c r="C485" s="3" t="s">
        <v>14</v>
      </c>
      <c r="D485" s="3">
        <v>28</v>
      </c>
      <c r="E485" s="3" t="s">
        <v>59</v>
      </c>
      <c r="F485" s="4">
        <v>128881</v>
      </c>
      <c r="G485" s="4">
        <v>16614</v>
      </c>
      <c r="H485" s="4">
        <v>45745</v>
      </c>
      <c r="I485" s="3" t="s">
        <v>16</v>
      </c>
      <c r="J485" s="3" t="s">
        <v>24</v>
      </c>
    </row>
    <row r="486" spans="1:10" x14ac:dyDescent="0.3">
      <c r="A486" s="3" t="s">
        <v>1066</v>
      </c>
      <c r="B486" s="3" t="s">
        <v>1575</v>
      </c>
      <c r="C486" s="3" t="s">
        <v>48</v>
      </c>
      <c r="D486" s="3">
        <v>46</v>
      </c>
      <c r="E486" s="3" t="s">
        <v>59</v>
      </c>
      <c r="F486" s="4">
        <v>211351</v>
      </c>
      <c r="G486" s="4">
        <v>164299</v>
      </c>
      <c r="H486" s="4">
        <v>110646</v>
      </c>
      <c r="I486" s="3" t="s">
        <v>23</v>
      </c>
      <c r="J486" s="3" t="s">
        <v>17</v>
      </c>
    </row>
    <row r="487" spans="1:10" x14ac:dyDescent="0.3">
      <c r="A487" s="3" t="s">
        <v>1067</v>
      </c>
      <c r="B487" s="3" t="s">
        <v>1576</v>
      </c>
      <c r="C487" s="3" t="s">
        <v>44</v>
      </c>
      <c r="D487" s="3">
        <v>45</v>
      </c>
      <c r="E487" s="3" t="s">
        <v>59</v>
      </c>
      <c r="F487" s="4">
        <v>16072</v>
      </c>
      <c r="G487" s="4">
        <v>143767</v>
      </c>
      <c r="H487" s="4">
        <v>50473</v>
      </c>
      <c r="I487" s="3" t="s">
        <v>23</v>
      </c>
      <c r="J487" s="3" t="s">
        <v>24</v>
      </c>
    </row>
    <row r="488" spans="1:10" x14ac:dyDescent="0.3">
      <c r="A488" s="3" t="s">
        <v>1068</v>
      </c>
      <c r="B488" s="3" t="s">
        <v>1577</v>
      </c>
      <c r="C488" s="3" t="s">
        <v>44</v>
      </c>
      <c r="D488" s="3">
        <v>55</v>
      </c>
      <c r="E488" s="3" t="s">
        <v>22</v>
      </c>
      <c r="F488" s="4">
        <v>252076.51219512196</v>
      </c>
      <c r="G488" s="4">
        <v>254674</v>
      </c>
      <c r="H488" s="4">
        <v>122760</v>
      </c>
      <c r="I488" s="3" t="s">
        <v>16</v>
      </c>
      <c r="J488" s="3" t="s">
        <v>17</v>
      </c>
    </row>
    <row r="489" spans="1:10" x14ac:dyDescent="0.3">
      <c r="A489" s="3" t="s">
        <v>1070</v>
      </c>
      <c r="B489" s="3" t="s">
        <v>1578</v>
      </c>
      <c r="C489" s="3" t="s">
        <v>44</v>
      </c>
      <c r="D489" s="3">
        <v>23</v>
      </c>
      <c r="E489" s="3" t="s">
        <v>59</v>
      </c>
      <c r="F489" s="4">
        <v>40577</v>
      </c>
      <c r="G489" s="4">
        <v>132237</v>
      </c>
      <c r="H489" s="4">
        <v>106196</v>
      </c>
      <c r="I489" s="3" t="s">
        <v>33</v>
      </c>
      <c r="J489" s="3" t="s">
        <v>24</v>
      </c>
    </row>
    <row r="490" spans="1:10" x14ac:dyDescent="0.3">
      <c r="A490" s="3" t="s">
        <v>1071</v>
      </c>
      <c r="B490" s="3" t="s">
        <v>1579</v>
      </c>
      <c r="C490" s="3" t="s">
        <v>44</v>
      </c>
      <c r="D490" s="3">
        <v>30</v>
      </c>
      <c r="E490" s="3" t="s">
        <v>22</v>
      </c>
      <c r="F490" s="4">
        <v>9829</v>
      </c>
      <c r="G490" s="4">
        <v>230757</v>
      </c>
      <c r="H490" s="4">
        <v>50052</v>
      </c>
      <c r="I490" s="3" t="s">
        <v>16</v>
      </c>
      <c r="J490" s="3" t="s">
        <v>24</v>
      </c>
    </row>
    <row r="491" spans="1:10" x14ac:dyDescent="0.3">
      <c r="A491" s="3" t="s">
        <v>1072</v>
      </c>
      <c r="B491" s="3" t="s">
        <v>1580</v>
      </c>
      <c r="C491" s="3" t="s">
        <v>14</v>
      </c>
      <c r="D491" s="3">
        <v>24</v>
      </c>
      <c r="E491" s="3" t="s">
        <v>1590</v>
      </c>
      <c r="F491" s="4">
        <v>162800</v>
      </c>
      <c r="G491" s="4">
        <v>272010</v>
      </c>
      <c r="H491" s="4">
        <v>110585</v>
      </c>
      <c r="I491" s="3" t="s">
        <v>16</v>
      </c>
      <c r="J491" s="3" t="s">
        <v>24</v>
      </c>
    </row>
    <row r="492" spans="1:10" x14ac:dyDescent="0.3">
      <c r="A492" s="3" t="s">
        <v>1073</v>
      </c>
      <c r="B492" s="3" t="s">
        <v>1581</v>
      </c>
      <c r="C492" s="3" t="s">
        <v>44</v>
      </c>
      <c r="D492" s="3">
        <v>24</v>
      </c>
      <c r="E492" s="3" t="s">
        <v>59</v>
      </c>
      <c r="F492" s="4">
        <v>313926</v>
      </c>
      <c r="G492" s="4">
        <v>166897</v>
      </c>
      <c r="H492" s="4">
        <v>41928</v>
      </c>
      <c r="I492" s="3" t="s">
        <v>33</v>
      </c>
      <c r="J492" s="3" t="s">
        <v>17</v>
      </c>
    </row>
    <row r="493" spans="1:10" x14ac:dyDescent="0.3">
      <c r="A493" s="3" t="s">
        <v>1074</v>
      </c>
      <c r="B493" s="3" t="s">
        <v>1582</v>
      </c>
      <c r="C493" s="3" t="s">
        <v>58</v>
      </c>
      <c r="D493" s="3">
        <v>42</v>
      </c>
      <c r="E493" s="3" t="s">
        <v>22</v>
      </c>
      <c r="F493" s="4">
        <v>252076.51219512196</v>
      </c>
      <c r="G493" s="4">
        <v>277765</v>
      </c>
      <c r="H493" s="4">
        <v>84094</v>
      </c>
      <c r="I493" s="3" t="s">
        <v>16</v>
      </c>
      <c r="J493" s="3" t="s">
        <v>24</v>
      </c>
    </row>
    <row r="494" spans="1:10" x14ac:dyDescent="0.3">
      <c r="A494" s="3" t="s">
        <v>1075</v>
      </c>
      <c r="B494" s="3" t="s">
        <v>1583</v>
      </c>
      <c r="C494" s="3" t="s">
        <v>14</v>
      </c>
      <c r="D494" s="3">
        <v>57</v>
      </c>
      <c r="E494" s="3" t="s">
        <v>1590</v>
      </c>
      <c r="F494" s="4">
        <v>294041</v>
      </c>
      <c r="G494" s="4">
        <v>43402</v>
      </c>
      <c r="H494" s="4">
        <v>83863</v>
      </c>
      <c r="I494" s="3" t="s">
        <v>23</v>
      </c>
      <c r="J494" s="3" t="s">
        <v>17</v>
      </c>
    </row>
    <row r="495" spans="1:10" x14ac:dyDescent="0.3">
      <c r="A495" s="3" t="s">
        <v>1077</v>
      </c>
      <c r="B495" s="3" t="s">
        <v>1584</v>
      </c>
      <c r="C495" s="3" t="s">
        <v>44</v>
      </c>
      <c r="D495" s="3">
        <v>39.868583162217661</v>
      </c>
      <c r="E495" s="3" t="s">
        <v>59</v>
      </c>
      <c r="F495" s="4">
        <v>221227</v>
      </c>
      <c r="G495" s="4">
        <v>247153</v>
      </c>
      <c r="H495" s="4">
        <v>25622</v>
      </c>
      <c r="I495" s="3" t="s">
        <v>16</v>
      </c>
      <c r="J495" s="3" t="s">
        <v>17</v>
      </c>
    </row>
    <row r="496" spans="1:10" x14ac:dyDescent="0.3">
      <c r="A496" s="3" t="s">
        <v>1078</v>
      </c>
      <c r="B496" s="3" t="s">
        <v>1585</v>
      </c>
      <c r="C496" s="3" t="s">
        <v>14</v>
      </c>
      <c r="D496" s="3">
        <v>52</v>
      </c>
      <c r="E496" s="3" t="s">
        <v>22</v>
      </c>
      <c r="F496" s="4">
        <v>424158</v>
      </c>
      <c r="G496" s="4">
        <v>98478</v>
      </c>
      <c r="H496" s="4">
        <v>43844</v>
      </c>
      <c r="I496" s="3" t="s">
        <v>33</v>
      </c>
      <c r="J496" s="3" t="s">
        <v>17</v>
      </c>
    </row>
    <row r="497" spans="1:10" x14ac:dyDescent="0.3">
      <c r="A497" s="3" t="s">
        <v>1079</v>
      </c>
      <c r="B497" s="3" t="s">
        <v>1586</v>
      </c>
      <c r="C497" s="3" t="s">
        <v>21</v>
      </c>
      <c r="D497" s="3">
        <v>40</v>
      </c>
      <c r="E497" s="3" t="s">
        <v>22</v>
      </c>
      <c r="F497" s="4">
        <v>298743</v>
      </c>
      <c r="G497" s="4">
        <v>223734</v>
      </c>
      <c r="H497" s="4">
        <v>61461</v>
      </c>
      <c r="I497" s="3" t="s">
        <v>33</v>
      </c>
      <c r="J497" s="3" t="s">
        <v>17</v>
      </c>
    </row>
    <row r="498" spans="1:10" x14ac:dyDescent="0.3">
      <c r="A498" s="3" t="s">
        <v>1082</v>
      </c>
      <c r="B498" s="3" t="s">
        <v>1523</v>
      </c>
      <c r="C498" s="3" t="s">
        <v>48</v>
      </c>
      <c r="D498" s="3">
        <v>50</v>
      </c>
      <c r="E498" s="3" t="s">
        <v>59</v>
      </c>
      <c r="F498" s="4">
        <v>296051</v>
      </c>
      <c r="G498" s="4">
        <v>10317</v>
      </c>
      <c r="H498" s="4">
        <v>147644</v>
      </c>
      <c r="I498" s="3" t="s">
        <v>23</v>
      </c>
      <c r="J498" s="3" t="s">
        <v>17</v>
      </c>
    </row>
    <row r="499" spans="1:10" x14ac:dyDescent="0.3">
      <c r="A499" s="3" t="s">
        <v>1083</v>
      </c>
      <c r="B499" s="3" t="s">
        <v>1587</v>
      </c>
      <c r="C499" s="3" t="s">
        <v>21</v>
      </c>
      <c r="D499" s="3">
        <v>41</v>
      </c>
      <c r="E499" s="3" t="s">
        <v>22</v>
      </c>
      <c r="F499" s="4">
        <v>489565</v>
      </c>
      <c r="G499" s="4">
        <v>234375</v>
      </c>
      <c r="H499" s="4">
        <v>119060</v>
      </c>
      <c r="I499" s="3" t="s">
        <v>33</v>
      </c>
      <c r="J499" s="3" t="s">
        <v>24</v>
      </c>
    </row>
    <row r="500" spans="1:10" x14ac:dyDescent="0.3">
      <c r="A500" s="3" t="s">
        <v>1085</v>
      </c>
      <c r="B500" s="3" t="s">
        <v>1588</v>
      </c>
      <c r="C500" s="3" t="s">
        <v>14</v>
      </c>
      <c r="D500" s="3">
        <v>21</v>
      </c>
      <c r="E500" s="3" t="s">
        <v>59</v>
      </c>
      <c r="F500" s="4">
        <v>76979</v>
      </c>
      <c r="G500" s="4">
        <v>9941</v>
      </c>
      <c r="H500" s="4">
        <v>110198</v>
      </c>
      <c r="I500" s="3" t="s">
        <v>33</v>
      </c>
      <c r="J500" s="3" t="s">
        <v>17</v>
      </c>
    </row>
    <row r="501" spans="1:10" x14ac:dyDescent="0.3">
      <c r="A501" s="3" t="s">
        <v>1087</v>
      </c>
      <c r="B501" s="3" t="s">
        <v>1589</v>
      </c>
      <c r="C501" s="3" t="s">
        <v>48</v>
      </c>
      <c r="D501" s="3">
        <v>39.868583162217661</v>
      </c>
      <c r="E501" s="3" t="s">
        <v>22</v>
      </c>
      <c r="F501" s="4">
        <v>158248</v>
      </c>
      <c r="G501" s="4">
        <v>128450</v>
      </c>
      <c r="H501" s="4">
        <v>131864</v>
      </c>
      <c r="I501" s="3" t="s">
        <v>23</v>
      </c>
      <c r="J501" s="3" t="s">
        <v>24</v>
      </c>
    </row>
  </sheetData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E8FF-A7FF-48EB-AB2A-BD185C8178EA}">
  <dimension ref="A1:L501"/>
  <sheetViews>
    <sheetView tabSelected="1" workbookViewId="0">
      <selection activeCell="E10" sqref="E10"/>
    </sheetView>
  </sheetViews>
  <sheetFormatPr defaultRowHeight="14.4" x14ac:dyDescent="0.3"/>
  <cols>
    <col min="1" max="1" width="14.109375" bestFit="1" customWidth="1"/>
    <col min="2" max="2" width="18.6640625" bestFit="1" customWidth="1"/>
    <col min="3" max="3" width="10.6640625" bestFit="1" customWidth="1"/>
    <col min="4" max="4" width="12" bestFit="1" customWidth="1"/>
    <col min="5" max="5" width="12.109375" bestFit="1" customWidth="1"/>
    <col min="6" max="6" width="9.33203125" bestFit="1" customWidth="1"/>
    <col min="7" max="7" width="17.33203125" bestFit="1" customWidth="1"/>
    <col min="8" max="8" width="14.6640625" bestFit="1" customWidth="1"/>
    <col min="9" max="9" width="17.33203125" bestFit="1" customWidth="1"/>
    <col min="10" max="10" width="17.6640625" bestFit="1" customWidth="1"/>
    <col min="11" max="11" width="14.77734375" bestFit="1" customWidth="1"/>
    <col min="12" max="12" width="8.44140625" bestFit="1" customWidth="1"/>
  </cols>
  <sheetData>
    <row r="1" spans="1:12" x14ac:dyDescent="0.3">
      <c r="A1" t="s">
        <v>0</v>
      </c>
      <c r="B1" t="s">
        <v>1092</v>
      </c>
      <c r="C1" t="s">
        <v>3</v>
      </c>
      <c r="D1" t="s">
        <v>4</v>
      </c>
      <c r="E1" t="s">
        <v>1602</v>
      </c>
      <c r="F1" t="s">
        <v>5</v>
      </c>
      <c r="G1" t="s">
        <v>6</v>
      </c>
      <c r="H1" t="s">
        <v>7</v>
      </c>
      <c r="I1" t="s">
        <v>8</v>
      </c>
      <c r="J1" t="s">
        <v>1598</v>
      </c>
      <c r="K1" t="s">
        <v>9</v>
      </c>
      <c r="L1" t="s">
        <v>10</v>
      </c>
    </row>
    <row r="2" spans="1:12" x14ac:dyDescent="0.3">
      <c r="A2" t="s">
        <v>11</v>
      </c>
      <c r="B2" t="s">
        <v>1094</v>
      </c>
      <c r="C2" t="s">
        <v>14</v>
      </c>
      <c r="D2">
        <v>27</v>
      </c>
      <c r="E2" t="s">
        <v>13</v>
      </c>
      <c r="F2" t="s">
        <v>22</v>
      </c>
      <c r="G2">
        <v>173251</v>
      </c>
      <c r="H2">
        <v>201954</v>
      </c>
      <c r="I2">
        <v>60097</v>
      </c>
      <c r="J2" t="s">
        <v>1599</v>
      </c>
      <c r="K2" t="s">
        <v>16</v>
      </c>
      <c r="L2" t="s">
        <v>17</v>
      </c>
    </row>
    <row r="3" spans="1:12" x14ac:dyDescent="0.3">
      <c r="A3" t="s">
        <v>18</v>
      </c>
      <c r="B3" t="s">
        <v>1095</v>
      </c>
      <c r="C3" t="s">
        <v>21</v>
      </c>
      <c r="D3">
        <v>22</v>
      </c>
      <c r="E3" t="s">
        <v>13</v>
      </c>
      <c r="F3" t="s">
        <v>22</v>
      </c>
      <c r="G3">
        <v>290970</v>
      </c>
      <c r="H3">
        <v>230892</v>
      </c>
      <c r="I3">
        <v>84539</v>
      </c>
      <c r="J3" t="s">
        <v>1599</v>
      </c>
      <c r="K3" t="s">
        <v>23</v>
      </c>
      <c r="L3" t="s">
        <v>24</v>
      </c>
    </row>
    <row r="4" spans="1:12" x14ac:dyDescent="0.3">
      <c r="A4" t="s">
        <v>25</v>
      </c>
      <c r="B4" t="s">
        <v>1096</v>
      </c>
      <c r="C4" t="s">
        <v>21</v>
      </c>
      <c r="D4">
        <v>59</v>
      </c>
      <c r="E4" t="s">
        <v>1603</v>
      </c>
      <c r="F4" t="s">
        <v>59</v>
      </c>
      <c r="G4">
        <v>154393</v>
      </c>
      <c r="H4">
        <v>46687</v>
      </c>
      <c r="I4">
        <v>129825</v>
      </c>
      <c r="J4" t="s">
        <v>1600</v>
      </c>
      <c r="K4" t="s">
        <v>23</v>
      </c>
      <c r="L4" t="s">
        <v>17</v>
      </c>
    </row>
    <row r="5" spans="1:12" x14ac:dyDescent="0.3">
      <c r="A5" t="s">
        <v>29</v>
      </c>
      <c r="B5" t="s">
        <v>1097</v>
      </c>
      <c r="C5" t="s">
        <v>21</v>
      </c>
      <c r="D5">
        <v>53</v>
      </c>
      <c r="E5" t="s">
        <v>1603</v>
      </c>
      <c r="F5" t="s">
        <v>59</v>
      </c>
      <c r="G5">
        <v>407998</v>
      </c>
      <c r="H5">
        <v>229123</v>
      </c>
      <c r="I5">
        <v>33489</v>
      </c>
      <c r="J5" t="s">
        <v>1601</v>
      </c>
      <c r="K5" t="s">
        <v>33</v>
      </c>
      <c r="L5" t="s">
        <v>24</v>
      </c>
    </row>
    <row r="6" spans="1:12" x14ac:dyDescent="0.3">
      <c r="A6" t="s">
        <v>34</v>
      </c>
      <c r="B6" t="s">
        <v>1098</v>
      </c>
      <c r="C6" t="s">
        <v>14</v>
      </c>
      <c r="D6">
        <v>48</v>
      </c>
      <c r="E6" t="s">
        <v>1604</v>
      </c>
      <c r="F6" t="s">
        <v>22</v>
      </c>
      <c r="G6">
        <v>252076.5122</v>
      </c>
      <c r="H6">
        <v>82629</v>
      </c>
      <c r="I6">
        <v>36790</v>
      </c>
      <c r="J6" t="s">
        <v>1601</v>
      </c>
      <c r="K6" t="s">
        <v>33</v>
      </c>
      <c r="L6" t="s">
        <v>17</v>
      </c>
    </row>
    <row r="7" spans="1:12" x14ac:dyDescent="0.3">
      <c r="A7" t="s">
        <v>38</v>
      </c>
      <c r="B7" t="s">
        <v>1099</v>
      </c>
      <c r="C7" t="s">
        <v>14</v>
      </c>
      <c r="D7">
        <v>39</v>
      </c>
      <c r="E7" t="s">
        <v>1604</v>
      </c>
      <c r="F7" t="s">
        <v>59</v>
      </c>
      <c r="G7">
        <v>393546</v>
      </c>
      <c r="H7">
        <v>282820</v>
      </c>
      <c r="I7">
        <v>60204</v>
      </c>
      <c r="J7" t="s">
        <v>1599</v>
      </c>
      <c r="K7" t="s">
        <v>33</v>
      </c>
      <c r="L7" t="s">
        <v>17</v>
      </c>
    </row>
    <row r="8" spans="1:12" x14ac:dyDescent="0.3">
      <c r="A8" t="s">
        <v>41</v>
      </c>
      <c r="B8" t="s">
        <v>1100</v>
      </c>
      <c r="C8" t="s">
        <v>44</v>
      </c>
      <c r="D8">
        <v>40</v>
      </c>
      <c r="E8" t="s">
        <v>1604</v>
      </c>
      <c r="F8" t="s">
        <v>59</v>
      </c>
      <c r="G8">
        <v>277326</v>
      </c>
      <c r="H8">
        <v>202534</v>
      </c>
      <c r="I8">
        <v>63511</v>
      </c>
      <c r="J8" t="s">
        <v>1599</v>
      </c>
      <c r="K8" t="s">
        <v>33</v>
      </c>
      <c r="L8" t="s">
        <v>24</v>
      </c>
    </row>
    <row r="9" spans="1:12" x14ac:dyDescent="0.3">
      <c r="A9" t="s">
        <v>45</v>
      </c>
      <c r="B9" t="s">
        <v>1101</v>
      </c>
      <c r="C9" t="s">
        <v>48</v>
      </c>
      <c r="D9">
        <v>31</v>
      </c>
      <c r="E9" t="s">
        <v>1604</v>
      </c>
      <c r="F9" t="s">
        <v>22</v>
      </c>
      <c r="G9">
        <v>409932</v>
      </c>
      <c r="H9">
        <v>209949</v>
      </c>
      <c r="I9">
        <v>17760</v>
      </c>
      <c r="J9" t="s">
        <v>1601</v>
      </c>
      <c r="K9" t="s">
        <v>23</v>
      </c>
      <c r="L9" t="s">
        <v>17</v>
      </c>
    </row>
    <row r="10" spans="1:12" x14ac:dyDescent="0.3">
      <c r="A10" t="s">
        <v>49</v>
      </c>
      <c r="B10" t="s">
        <v>1102</v>
      </c>
      <c r="C10" t="s">
        <v>14</v>
      </c>
      <c r="D10">
        <v>47</v>
      </c>
      <c r="E10" t="s">
        <v>1604</v>
      </c>
      <c r="F10" t="s">
        <v>59</v>
      </c>
      <c r="G10">
        <v>468043</v>
      </c>
      <c r="H10">
        <v>123836</v>
      </c>
      <c r="I10">
        <v>101261</v>
      </c>
      <c r="J10" t="s">
        <v>1600</v>
      </c>
      <c r="K10" t="s">
        <v>16</v>
      </c>
      <c r="L10" t="s">
        <v>17</v>
      </c>
    </row>
    <row r="11" spans="1:12" x14ac:dyDescent="0.3">
      <c r="A11" t="s">
        <v>52</v>
      </c>
      <c r="B11" t="s">
        <v>1103</v>
      </c>
      <c r="C11" t="s">
        <v>44</v>
      </c>
      <c r="D11">
        <v>45</v>
      </c>
      <c r="E11" t="s">
        <v>1604</v>
      </c>
      <c r="F11" t="s">
        <v>59</v>
      </c>
      <c r="G11">
        <v>328320</v>
      </c>
      <c r="H11">
        <v>171683</v>
      </c>
      <c r="I11">
        <v>115464</v>
      </c>
      <c r="J11" t="s">
        <v>1600</v>
      </c>
      <c r="K11" t="s">
        <v>16</v>
      </c>
      <c r="L11" t="s">
        <v>24</v>
      </c>
    </row>
    <row r="12" spans="1:12" x14ac:dyDescent="0.3">
      <c r="A12" t="s">
        <v>55</v>
      </c>
      <c r="B12" t="s">
        <v>1104</v>
      </c>
      <c r="C12" t="s">
        <v>58</v>
      </c>
      <c r="D12">
        <v>57</v>
      </c>
      <c r="E12" t="s">
        <v>1603</v>
      </c>
      <c r="F12" t="s">
        <v>59</v>
      </c>
      <c r="G12">
        <v>311372</v>
      </c>
      <c r="H12">
        <v>251677</v>
      </c>
      <c r="I12">
        <v>47473</v>
      </c>
      <c r="J12" t="s">
        <v>1601</v>
      </c>
      <c r="K12" t="s">
        <v>16</v>
      </c>
      <c r="L12" t="s">
        <v>17</v>
      </c>
    </row>
    <row r="13" spans="1:12" x14ac:dyDescent="0.3">
      <c r="A13" t="s">
        <v>60</v>
      </c>
      <c r="B13" t="s">
        <v>1105</v>
      </c>
      <c r="C13" t="s">
        <v>44</v>
      </c>
      <c r="D13">
        <v>38</v>
      </c>
      <c r="E13" t="s">
        <v>1604</v>
      </c>
      <c r="F13" t="s">
        <v>59</v>
      </c>
      <c r="G13">
        <v>37657</v>
      </c>
      <c r="H13">
        <v>146719</v>
      </c>
      <c r="I13">
        <v>147344</v>
      </c>
      <c r="J13" t="s">
        <v>1600</v>
      </c>
      <c r="K13" t="s">
        <v>23</v>
      </c>
      <c r="L13" t="s">
        <v>24</v>
      </c>
    </row>
    <row r="14" spans="1:12" x14ac:dyDescent="0.3">
      <c r="A14" t="s">
        <v>63</v>
      </c>
      <c r="B14" t="s">
        <v>1106</v>
      </c>
      <c r="C14" t="s">
        <v>44</v>
      </c>
      <c r="D14">
        <v>57</v>
      </c>
      <c r="E14" t="s">
        <v>1603</v>
      </c>
      <c r="F14" t="s">
        <v>22</v>
      </c>
      <c r="G14">
        <v>252076.5122</v>
      </c>
      <c r="H14">
        <v>97461</v>
      </c>
      <c r="I14">
        <v>80848</v>
      </c>
      <c r="J14" t="s">
        <v>1599</v>
      </c>
      <c r="K14" t="s">
        <v>23</v>
      </c>
      <c r="L14" t="s">
        <v>17</v>
      </c>
    </row>
    <row r="15" spans="1:12" x14ac:dyDescent="0.3">
      <c r="A15" t="s">
        <v>66</v>
      </c>
      <c r="B15" t="s">
        <v>1107</v>
      </c>
      <c r="C15" t="s">
        <v>21</v>
      </c>
      <c r="D15">
        <v>34</v>
      </c>
      <c r="E15" t="s">
        <v>1604</v>
      </c>
      <c r="F15" t="s">
        <v>22</v>
      </c>
      <c r="G15">
        <v>235791</v>
      </c>
      <c r="H15">
        <v>49290</v>
      </c>
      <c r="I15">
        <v>24861</v>
      </c>
      <c r="J15" t="s">
        <v>1601</v>
      </c>
      <c r="K15" t="s">
        <v>23</v>
      </c>
      <c r="L15" t="s">
        <v>24</v>
      </c>
    </row>
    <row r="16" spans="1:12" x14ac:dyDescent="0.3">
      <c r="A16" t="s">
        <v>70</v>
      </c>
      <c r="B16" t="s">
        <v>1108</v>
      </c>
      <c r="C16" t="s">
        <v>44</v>
      </c>
      <c r="D16">
        <v>34</v>
      </c>
      <c r="E16" t="s">
        <v>1604</v>
      </c>
      <c r="F16" t="s">
        <v>59</v>
      </c>
      <c r="G16">
        <v>142325</v>
      </c>
      <c r="H16">
        <v>119346</v>
      </c>
      <c r="I16">
        <v>63943</v>
      </c>
      <c r="J16" t="s">
        <v>1599</v>
      </c>
      <c r="K16" t="s">
        <v>16</v>
      </c>
      <c r="L16" t="s">
        <v>17</v>
      </c>
    </row>
    <row r="17" spans="1:12" x14ac:dyDescent="0.3">
      <c r="A17" t="s">
        <v>73</v>
      </c>
      <c r="B17" t="s">
        <v>1109</v>
      </c>
      <c r="C17" t="s">
        <v>44</v>
      </c>
      <c r="D17">
        <v>25</v>
      </c>
      <c r="E17" t="s">
        <v>13</v>
      </c>
      <c r="F17" t="s">
        <v>22</v>
      </c>
      <c r="G17">
        <v>183534</v>
      </c>
      <c r="H17">
        <v>37832</v>
      </c>
      <c r="I17">
        <v>82064</v>
      </c>
      <c r="J17" t="s">
        <v>1599</v>
      </c>
      <c r="K17" t="s">
        <v>33</v>
      </c>
      <c r="L17" t="s">
        <v>24</v>
      </c>
    </row>
    <row r="18" spans="1:12" x14ac:dyDescent="0.3">
      <c r="A18" t="s">
        <v>76</v>
      </c>
      <c r="B18" t="s">
        <v>1110</v>
      </c>
      <c r="C18" t="s">
        <v>21</v>
      </c>
      <c r="D18">
        <v>39</v>
      </c>
      <c r="E18" t="s">
        <v>1604</v>
      </c>
      <c r="F18" t="s">
        <v>1590</v>
      </c>
      <c r="G18">
        <v>378588</v>
      </c>
      <c r="H18">
        <v>4870</v>
      </c>
      <c r="I18">
        <v>147525</v>
      </c>
      <c r="J18" t="s">
        <v>1600</v>
      </c>
      <c r="K18" t="s">
        <v>16</v>
      </c>
      <c r="L18" t="s">
        <v>17</v>
      </c>
    </row>
    <row r="19" spans="1:12" x14ac:dyDescent="0.3">
      <c r="A19" t="s">
        <v>79</v>
      </c>
      <c r="B19" t="s">
        <v>1111</v>
      </c>
      <c r="C19" t="s">
        <v>48</v>
      </c>
      <c r="D19">
        <v>32</v>
      </c>
      <c r="E19" t="s">
        <v>1604</v>
      </c>
      <c r="F19" t="s">
        <v>22</v>
      </c>
      <c r="G19">
        <v>109396</v>
      </c>
      <c r="H19">
        <v>24146</v>
      </c>
      <c r="I19">
        <v>84605</v>
      </c>
      <c r="J19" t="s">
        <v>1599</v>
      </c>
      <c r="K19" t="s">
        <v>16</v>
      </c>
      <c r="L19" t="s">
        <v>24</v>
      </c>
    </row>
    <row r="20" spans="1:12" x14ac:dyDescent="0.3">
      <c r="A20" t="s">
        <v>82</v>
      </c>
      <c r="B20" t="s">
        <v>1112</v>
      </c>
      <c r="C20" t="s">
        <v>58</v>
      </c>
      <c r="D20">
        <v>58</v>
      </c>
      <c r="E20" t="s">
        <v>1603</v>
      </c>
      <c r="F20" t="s">
        <v>22</v>
      </c>
      <c r="G20">
        <v>366989</v>
      </c>
      <c r="H20">
        <v>66345</v>
      </c>
      <c r="I20">
        <v>93738</v>
      </c>
      <c r="J20" t="s">
        <v>1599</v>
      </c>
      <c r="K20" t="s">
        <v>16</v>
      </c>
      <c r="L20" t="s">
        <v>24</v>
      </c>
    </row>
    <row r="21" spans="1:12" x14ac:dyDescent="0.3">
      <c r="A21" t="s">
        <v>84</v>
      </c>
      <c r="B21" t="s">
        <v>1113</v>
      </c>
      <c r="C21" t="s">
        <v>48</v>
      </c>
      <c r="D21">
        <v>29</v>
      </c>
      <c r="E21" t="s">
        <v>13</v>
      </c>
      <c r="F21" t="s">
        <v>22</v>
      </c>
      <c r="G21">
        <v>28089</v>
      </c>
      <c r="H21">
        <v>105962</v>
      </c>
      <c r="I21">
        <v>89657</v>
      </c>
      <c r="J21" t="s">
        <v>1599</v>
      </c>
      <c r="K21" t="s">
        <v>16</v>
      </c>
      <c r="L21" t="s">
        <v>24</v>
      </c>
    </row>
    <row r="22" spans="1:12" x14ac:dyDescent="0.3">
      <c r="A22" t="s">
        <v>87</v>
      </c>
      <c r="B22" t="s">
        <v>1114</v>
      </c>
      <c r="C22" t="s">
        <v>14</v>
      </c>
      <c r="D22">
        <v>24</v>
      </c>
      <c r="E22" t="s">
        <v>13</v>
      </c>
      <c r="F22" t="s">
        <v>59</v>
      </c>
      <c r="G22">
        <v>464120</v>
      </c>
      <c r="H22">
        <v>255109</v>
      </c>
      <c r="I22">
        <v>49534</v>
      </c>
      <c r="J22" t="s">
        <v>1601</v>
      </c>
      <c r="K22" t="s">
        <v>23</v>
      </c>
      <c r="L22" t="s">
        <v>24</v>
      </c>
    </row>
    <row r="23" spans="1:12" x14ac:dyDescent="0.3">
      <c r="A23" t="s">
        <v>91</v>
      </c>
      <c r="B23" t="s">
        <v>1115</v>
      </c>
      <c r="C23" t="s">
        <v>21</v>
      </c>
      <c r="D23">
        <v>52</v>
      </c>
      <c r="E23" t="s">
        <v>1603</v>
      </c>
      <c r="F23" t="s">
        <v>22</v>
      </c>
      <c r="G23">
        <v>242645</v>
      </c>
      <c r="H23">
        <v>215764</v>
      </c>
      <c r="I23">
        <v>119723</v>
      </c>
      <c r="J23" t="s">
        <v>1600</v>
      </c>
      <c r="K23" t="s">
        <v>33</v>
      </c>
      <c r="L23" t="s">
        <v>17</v>
      </c>
    </row>
    <row r="24" spans="1:12" x14ac:dyDescent="0.3">
      <c r="A24" t="s">
        <v>94</v>
      </c>
      <c r="B24" t="s">
        <v>1116</v>
      </c>
      <c r="C24" t="s">
        <v>21</v>
      </c>
      <c r="D24">
        <v>27</v>
      </c>
      <c r="E24" t="s">
        <v>13</v>
      </c>
      <c r="F24" t="s">
        <v>22</v>
      </c>
      <c r="G24">
        <v>96931</v>
      </c>
      <c r="H24">
        <v>212684</v>
      </c>
      <c r="I24">
        <v>72262</v>
      </c>
      <c r="J24" t="s">
        <v>1599</v>
      </c>
      <c r="K24" t="s">
        <v>33</v>
      </c>
      <c r="L24" t="s">
        <v>17</v>
      </c>
    </row>
    <row r="25" spans="1:12" x14ac:dyDescent="0.3">
      <c r="A25" t="s">
        <v>97</v>
      </c>
      <c r="B25" t="s">
        <v>1117</v>
      </c>
      <c r="C25" t="s">
        <v>14</v>
      </c>
      <c r="D25">
        <v>31</v>
      </c>
      <c r="E25" t="s">
        <v>1604</v>
      </c>
      <c r="F25" t="s">
        <v>22</v>
      </c>
      <c r="G25">
        <v>252076.5122</v>
      </c>
      <c r="H25">
        <v>22589</v>
      </c>
      <c r="I25">
        <v>96065</v>
      </c>
      <c r="J25" t="s">
        <v>1599</v>
      </c>
      <c r="K25" t="s">
        <v>33</v>
      </c>
      <c r="L25" t="s">
        <v>24</v>
      </c>
    </row>
    <row r="26" spans="1:12" x14ac:dyDescent="0.3">
      <c r="A26" t="s">
        <v>100</v>
      </c>
      <c r="B26" t="s">
        <v>1118</v>
      </c>
      <c r="C26" t="s">
        <v>58</v>
      </c>
      <c r="D26">
        <v>40</v>
      </c>
      <c r="E26" t="s">
        <v>1604</v>
      </c>
      <c r="F26" t="s">
        <v>22</v>
      </c>
      <c r="G26">
        <v>376023</v>
      </c>
      <c r="H26">
        <v>125661</v>
      </c>
      <c r="I26">
        <v>17897</v>
      </c>
      <c r="J26" t="s">
        <v>1601</v>
      </c>
      <c r="K26" t="s">
        <v>16</v>
      </c>
      <c r="L26" t="s">
        <v>17</v>
      </c>
    </row>
    <row r="27" spans="1:12" x14ac:dyDescent="0.3">
      <c r="A27" t="s">
        <v>103</v>
      </c>
      <c r="B27" t="s">
        <v>1119</v>
      </c>
      <c r="C27" t="s">
        <v>48</v>
      </c>
      <c r="D27">
        <v>37</v>
      </c>
      <c r="E27" t="s">
        <v>1604</v>
      </c>
      <c r="F27" t="s">
        <v>22</v>
      </c>
      <c r="G27">
        <v>240960</v>
      </c>
      <c r="H27">
        <v>87899</v>
      </c>
      <c r="I27">
        <v>73114</v>
      </c>
      <c r="J27" t="s">
        <v>1599</v>
      </c>
      <c r="K27" t="s">
        <v>33</v>
      </c>
      <c r="L27" t="s">
        <v>24</v>
      </c>
    </row>
    <row r="28" spans="1:12" x14ac:dyDescent="0.3">
      <c r="A28" t="s">
        <v>106</v>
      </c>
      <c r="B28" t="s">
        <v>1120</v>
      </c>
      <c r="C28" t="s">
        <v>14</v>
      </c>
      <c r="D28">
        <v>32</v>
      </c>
      <c r="E28" t="s">
        <v>1604</v>
      </c>
      <c r="F28" t="s">
        <v>22</v>
      </c>
      <c r="G28">
        <v>370808</v>
      </c>
      <c r="H28">
        <v>214420</v>
      </c>
      <c r="I28">
        <v>97047</v>
      </c>
      <c r="J28" t="s">
        <v>1599</v>
      </c>
      <c r="K28" t="s">
        <v>16</v>
      </c>
      <c r="L28" t="s">
        <v>24</v>
      </c>
    </row>
    <row r="29" spans="1:12" x14ac:dyDescent="0.3">
      <c r="A29" t="s">
        <v>109</v>
      </c>
      <c r="B29" t="s">
        <v>1121</v>
      </c>
      <c r="C29" t="s">
        <v>14</v>
      </c>
      <c r="D29">
        <v>38</v>
      </c>
      <c r="E29" t="s">
        <v>1604</v>
      </c>
      <c r="F29" t="s">
        <v>22</v>
      </c>
      <c r="G29">
        <v>288932</v>
      </c>
      <c r="H29">
        <v>169820</v>
      </c>
      <c r="I29">
        <v>104449</v>
      </c>
      <c r="J29" t="s">
        <v>1600</v>
      </c>
      <c r="K29" t="s">
        <v>23</v>
      </c>
      <c r="L29" t="s">
        <v>24</v>
      </c>
    </row>
    <row r="30" spans="1:12" x14ac:dyDescent="0.3">
      <c r="A30" t="s">
        <v>112</v>
      </c>
      <c r="B30" t="s">
        <v>1122</v>
      </c>
      <c r="C30" t="s">
        <v>44</v>
      </c>
      <c r="D30">
        <v>27</v>
      </c>
      <c r="E30" t="s">
        <v>13</v>
      </c>
      <c r="F30" t="s">
        <v>22</v>
      </c>
      <c r="G30">
        <v>229111</v>
      </c>
      <c r="H30">
        <v>162228</v>
      </c>
      <c r="I30">
        <v>46648</v>
      </c>
      <c r="J30" t="s">
        <v>1601</v>
      </c>
      <c r="K30" t="s">
        <v>33</v>
      </c>
      <c r="L30" t="s">
        <v>24</v>
      </c>
    </row>
    <row r="31" spans="1:12" x14ac:dyDescent="0.3">
      <c r="A31" t="s">
        <v>115</v>
      </c>
      <c r="B31" t="s">
        <v>1123</v>
      </c>
      <c r="C31" t="s">
        <v>58</v>
      </c>
      <c r="D31">
        <v>22</v>
      </c>
      <c r="E31" t="s">
        <v>13</v>
      </c>
      <c r="F31" t="s">
        <v>22</v>
      </c>
      <c r="G31">
        <v>327115</v>
      </c>
      <c r="H31">
        <v>105929</v>
      </c>
      <c r="I31">
        <v>117263</v>
      </c>
      <c r="J31" t="s">
        <v>1600</v>
      </c>
      <c r="K31" t="s">
        <v>33</v>
      </c>
      <c r="L31" t="s">
        <v>17</v>
      </c>
    </row>
    <row r="32" spans="1:12" x14ac:dyDescent="0.3">
      <c r="A32" t="s">
        <v>118</v>
      </c>
      <c r="B32" t="s">
        <v>1124</v>
      </c>
      <c r="C32" t="s">
        <v>21</v>
      </c>
      <c r="D32">
        <v>45</v>
      </c>
      <c r="E32" t="s">
        <v>1604</v>
      </c>
      <c r="F32" t="s">
        <v>22</v>
      </c>
      <c r="G32">
        <v>369852</v>
      </c>
      <c r="H32">
        <v>147676.125</v>
      </c>
      <c r="I32">
        <v>63444</v>
      </c>
      <c r="J32" t="s">
        <v>1599</v>
      </c>
      <c r="K32" t="s">
        <v>23</v>
      </c>
      <c r="L32" t="s">
        <v>17</v>
      </c>
    </row>
    <row r="33" spans="1:12" x14ac:dyDescent="0.3">
      <c r="A33" t="s">
        <v>120</v>
      </c>
      <c r="B33" t="s">
        <v>1125</v>
      </c>
      <c r="C33" t="s">
        <v>44</v>
      </c>
      <c r="D33">
        <v>28</v>
      </c>
      <c r="E33" t="s">
        <v>13</v>
      </c>
      <c r="F33" t="s">
        <v>22</v>
      </c>
      <c r="G33">
        <v>31862</v>
      </c>
      <c r="H33">
        <v>264712</v>
      </c>
      <c r="I33">
        <v>89071</v>
      </c>
      <c r="J33" t="s">
        <v>1599</v>
      </c>
      <c r="K33" t="s">
        <v>23</v>
      </c>
      <c r="L33" t="s">
        <v>17</v>
      </c>
    </row>
    <row r="34" spans="1:12" x14ac:dyDescent="0.3">
      <c r="A34" t="s">
        <v>123</v>
      </c>
      <c r="B34" t="s">
        <v>1126</v>
      </c>
      <c r="C34" t="s">
        <v>14</v>
      </c>
      <c r="D34">
        <v>59</v>
      </c>
      <c r="E34" t="s">
        <v>1603</v>
      </c>
      <c r="F34" t="s">
        <v>22</v>
      </c>
      <c r="G34">
        <v>157366</v>
      </c>
      <c r="H34">
        <v>279801</v>
      </c>
      <c r="I34">
        <v>53889</v>
      </c>
      <c r="J34" t="s">
        <v>1599</v>
      </c>
      <c r="K34" t="s">
        <v>23</v>
      </c>
      <c r="L34" t="s">
        <v>24</v>
      </c>
    </row>
    <row r="35" spans="1:12" x14ac:dyDescent="0.3">
      <c r="A35" t="s">
        <v>125</v>
      </c>
      <c r="B35" t="s">
        <v>1127</v>
      </c>
      <c r="C35" t="s">
        <v>48</v>
      </c>
      <c r="D35">
        <v>52</v>
      </c>
      <c r="E35" t="s">
        <v>1603</v>
      </c>
      <c r="F35" t="s">
        <v>22</v>
      </c>
      <c r="G35">
        <v>46103</v>
      </c>
      <c r="H35">
        <v>253552</v>
      </c>
      <c r="I35">
        <v>137136</v>
      </c>
      <c r="J35" t="s">
        <v>1600</v>
      </c>
      <c r="K35" t="s">
        <v>23</v>
      </c>
      <c r="L35" t="s">
        <v>24</v>
      </c>
    </row>
    <row r="36" spans="1:12" x14ac:dyDescent="0.3">
      <c r="A36" t="s">
        <v>128</v>
      </c>
      <c r="B36" t="s">
        <v>1128</v>
      </c>
      <c r="C36" t="s">
        <v>14</v>
      </c>
      <c r="D36">
        <v>37</v>
      </c>
      <c r="E36" t="s">
        <v>1604</v>
      </c>
      <c r="F36" t="s">
        <v>59</v>
      </c>
      <c r="G36">
        <v>252076.5122</v>
      </c>
      <c r="H36">
        <v>279530</v>
      </c>
      <c r="I36">
        <v>49401</v>
      </c>
      <c r="J36" t="s">
        <v>1601</v>
      </c>
      <c r="K36" t="s">
        <v>33</v>
      </c>
      <c r="L36" t="s">
        <v>17</v>
      </c>
    </row>
    <row r="37" spans="1:12" x14ac:dyDescent="0.3">
      <c r="A37" t="s">
        <v>131</v>
      </c>
      <c r="B37" t="s">
        <v>1129</v>
      </c>
      <c r="C37" t="s">
        <v>48</v>
      </c>
      <c r="D37">
        <v>46</v>
      </c>
      <c r="E37" t="s">
        <v>1604</v>
      </c>
      <c r="F37" t="s">
        <v>59</v>
      </c>
      <c r="G37">
        <v>257101</v>
      </c>
      <c r="H37">
        <v>4975</v>
      </c>
      <c r="I37">
        <v>124975</v>
      </c>
      <c r="J37" t="s">
        <v>1600</v>
      </c>
      <c r="K37" t="s">
        <v>23</v>
      </c>
      <c r="L37" t="s">
        <v>17</v>
      </c>
    </row>
    <row r="38" spans="1:12" x14ac:dyDescent="0.3">
      <c r="A38" t="s">
        <v>134</v>
      </c>
      <c r="B38" t="s">
        <v>1130</v>
      </c>
      <c r="C38" t="s">
        <v>21</v>
      </c>
      <c r="D38">
        <v>51</v>
      </c>
      <c r="E38" t="s">
        <v>1603</v>
      </c>
      <c r="F38" t="s">
        <v>59</v>
      </c>
      <c r="G38">
        <v>436328</v>
      </c>
      <c r="H38">
        <v>268431</v>
      </c>
      <c r="I38">
        <v>20107</v>
      </c>
      <c r="J38" t="s">
        <v>1601</v>
      </c>
      <c r="K38" t="s">
        <v>23</v>
      </c>
      <c r="L38" t="s">
        <v>24</v>
      </c>
    </row>
    <row r="39" spans="1:12" x14ac:dyDescent="0.3">
      <c r="A39" t="s">
        <v>137</v>
      </c>
      <c r="B39" t="s">
        <v>1131</v>
      </c>
      <c r="C39" t="s">
        <v>58</v>
      </c>
      <c r="D39">
        <v>43</v>
      </c>
      <c r="E39" t="s">
        <v>1604</v>
      </c>
      <c r="F39" t="s">
        <v>59</v>
      </c>
      <c r="G39">
        <v>299153</v>
      </c>
      <c r="H39">
        <v>217265</v>
      </c>
      <c r="I39">
        <v>25816</v>
      </c>
      <c r="J39" t="s">
        <v>1601</v>
      </c>
      <c r="K39" t="s">
        <v>33</v>
      </c>
      <c r="L39" t="s">
        <v>17</v>
      </c>
    </row>
    <row r="40" spans="1:12" x14ac:dyDescent="0.3">
      <c r="A40" t="s">
        <v>140</v>
      </c>
      <c r="B40" t="s">
        <v>1132</v>
      </c>
      <c r="C40" t="s">
        <v>48</v>
      </c>
      <c r="D40">
        <v>39.868583162217661</v>
      </c>
      <c r="E40" t="s">
        <v>1604</v>
      </c>
      <c r="F40" t="s">
        <v>59</v>
      </c>
      <c r="G40">
        <v>88858</v>
      </c>
      <c r="H40">
        <v>176385</v>
      </c>
      <c r="I40">
        <v>96405</v>
      </c>
      <c r="J40" t="s">
        <v>1599</v>
      </c>
      <c r="K40" t="s">
        <v>16</v>
      </c>
      <c r="L40" t="s">
        <v>17</v>
      </c>
    </row>
    <row r="41" spans="1:12" x14ac:dyDescent="0.3">
      <c r="A41" t="s">
        <v>143</v>
      </c>
      <c r="B41" t="s">
        <v>1133</v>
      </c>
      <c r="C41" t="s">
        <v>48</v>
      </c>
      <c r="D41">
        <v>29</v>
      </c>
      <c r="E41" t="s">
        <v>13</v>
      </c>
      <c r="F41" t="s">
        <v>22</v>
      </c>
      <c r="G41">
        <v>232818</v>
      </c>
      <c r="H41">
        <v>277062</v>
      </c>
      <c r="I41">
        <v>27152</v>
      </c>
      <c r="J41" t="s">
        <v>1601</v>
      </c>
      <c r="K41" t="s">
        <v>23</v>
      </c>
      <c r="L41" t="s">
        <v>24</v>
      </c>
    </row>
    <row r="42" spans="1:12" x14ac:dyDescent="0.3">
      <c r="A42" t="s">
        <v>146</v>
      </c>
      <c r="B42" t="s">
        <v>1134</v>
      </c>
      <c r="C42" t="s">
        <v>21</v>
      </c>
      <c r="D42">
        <v>21</v>
      </c>
      <c r="E42" t="s">
        <v>13</v>
      </c>
      <c r="F42" t="s">
        <v>1590</v>
      </c>
      <c r="G42">
        <v>252076.5122</v>
      </c>
      <c r="H42">
        <v>118185</v>
      </c>
      <c r="I42">
        <v>28996</v>
      </c>
      <c r="J42" t="s">
        <v>1601</v>
      </c>
      <c r="K42" t="s">
        <v>33</v>
      </c>
      <c r="L42" t="s">
        <v>24</v>
      </c>
    </row>
    <row r="43" spans="1:12" x14ac:dyDescent="0.3">
      <c r="A43" t="s">
        <v>149</v>
      </c>
      <c r="B43" t="s">
        <v>1135</v>
      </c>
      <c r="C43" t="s">
        <v>21</v>
      </c>
      <c r="D43">
        <v>53</v>
      </c>
      <c r="E43" t="s">
        <v>1603</v>
      </c>
      <c r="F43" t="s">
        <v>22</v>
      </c>
      <c r="G43">
        <v>81993</v>
      </c>
      <c r="H43">
        <v>280761</v>
      </c>
      <c r="I43">
        <v>48115</v>
      </c>
      <c r="J43" t="s">
        <v>1601</v>
      </c>
      <c r="K43" t="s">
        <v>16</v>
      </c>
      <c r="L43" t="s">
        <v>24</v>
      </c>
    </row>
    <row r="44" spans="1:12" x14ac:dyDescent="0.3">
      <c r="A44" t="s">
        <v>152</v>
      </c>
      <c r="B44" t="s">
        <v>1136</v>
      </c>
      <c r="C44" t="s">
        <v>44</v>
      </c>
      <c r="D44">
        <v>33</v>
      </c>
      <c r="E44" t="s">
        <v>1604</v>
      </c>
      <c r="F44" t="s">
        <v>1590</v>
      </c>
      <c r="G44">
        <v>52480</v>
      </c>
      <c r="H44">
        <v>239014</v>
      </c>
      <c r="I44">
        <v>16422</v>
      </c>
      <c r="J44" t="s">
        <v>1601</v>
      </c>
      <c r="K44" t="s">
        <v>23</v>
      </c>
      <c r="L44" t="s">
        <v>24</v>
      </c>
    </row>
    <row r="45" spans="1:12" x14ac:dyDescent="0.3">
      <c r="A45" t="s">
        <v>155</v>
      </c>
      <c r="B45" t="s">
        <v>1137</v>
      </c>
      <c r="C45" t="s">
        <v>14</v>
      </c>
      <c r="D45">
        <v>22</v>
      </c>
      <c r="E45" t="s">
        <v>13</v>
      </c>
      <c r="F45" t="s">
        <v>59</v>
      </c>
      <c r="G45">
        <v>23528</v>
      </c>
      <c r="H45">
        <v>7049</v>
      </c>
      <c r="I45">
        <v>145390</v>
      </c>
      <c r="J45" t="s">
        <v>1600</v>
      </c>
      <c r="K45" t="s">
        <v>16</v>
      </c>
      <c r="L45" t="s">
        <v>17</v>
      </c>
    </row>
    <row r="46" spans="1:12" x14ac:dyDescent="0.3">
      <c r="A46" t="s">
        <v>158</v>
      </c>
      <c r="B46" t="s">
        <v>1138</v>
      </c>
      <c r="C46" t="s">
        <v>21</v>
      </c>
      <c r="D46">
        <v>37</v>
      </c>
      <c r="E46" t="s">
        <v>1604</v>
      </c>
      <c r="F46" t="s">
        <v>59</v>
      </c>
      <c r="G46">
        <v>26321</v>
      </c>
      <c r="H46">
        <v>243195</v>
      </c>
      <c r="I46">
        <v>40977</v>
      </c>
      <c r="J46" t="s">
        <v>1601</v>
      </c>
      <c r="K46" t="s">
        <v>16</v>
      </c>
      <c r="L46" t="s">
        <v>17</v>
      </c>
    </row>
    <row r="47" spans="1:12" x14ac:dyDescent="0.3">
      <c r="A47" t="s">
        <v>161</v>
      </c>
      <c r="B47" t="s">
        <v>1139</v>
      </c>
      <c r="C47" t="s">
        <v>44</v>
      </c>
      <c r="D47">
        <v>49</v>
      </c>
      <c r="E47" t="s">
        <v>1604</v>
      </c>
      <c r="F47" t="s">
        <v>59</v>
      </c>
      <c r="G47">
        <v>429931</v>
      </c>
      <c r="H47">
        <v>140398.7273</v>
      </c>
      <c r="I47">
        <v>52216</v>
      </c>
      <c r="J47" t="s">
        <v>1599</v>
      </c>
      <c r="K47" t="s">
        <v>16</v>
      </c>
      <c r="L47" t="s">
        <v>17</v>
      </c>
    </row>
    <row r="48" spans="1:12" x14ac:dyDescent="0.3">
      <c r="A48" t="s">
        <v>163</v>
      </c>
      <c r="B48" t="s">
        <v>1140</v>
      </c>
      <c r="C48" t="s">
        <v>44</v>
      </c>
      <c r="D48">
        <v>26</v>
      </c>
      <c r="E48" t="s">
        <v>13</v>
      </c>
      <c r="F48" t="s">
        <v>1590</v>
      </c>
      <c r="G48">
        <v>392441</v>
      </c>
      <c r="H48">
        <v>74216</v>
      </c>
      <c r="I48">
        <v>118625</v>
      </c>
      <c r="J48" t="s">
        <v>1600</v>
      </c>
      <c r="K48" t="s">
        <v>33</v>
      </c>
      <c r="L48" t="s">
        <v>24</v>
      </c>
    </row>
    <row r="49" spans="1:12" x14ac:dyDescent="0.3">
      <c r="A49" t="s">
        <v>166</v>
      </c>
      <c r="B49" t="s">
        <v>1141</v>
      </c>
      <c r="C49" t="s">
        <v>14</v>
      </c>
      <c r="D49">
        <v>39</v>
      </c>
      <c r="E49" t="s">
        <v>1604</v>
      </c>
      <c r="F49" t="s">
        <v>22</v>
      </c>
      <c r="G49">
        <v>58551</v>
      </c>
      <c r="H49">
        <v>277650</v>
      </c>
      <c r="I49">
        <v>136448</v>
      </c>
      <c r="J49" t="s">
        <v>1600</v>
      </c>
      <c r="K49" t="s">
        <v>16</v>
      </c>
      <c r="L49" t="s">
        <v>17</v>
      </c>
    </row>
    <row r="50" spans="1:12" x14ac:dyDescent="0.3">
      <c r="A50" t="s">
        <v>169</v>
      </c>
      <c r="B50" t="s">
        <v>1142</v>
      </c>
      <c r="C50" t="s">
        <v>58</v>
      </c>
      <c r="D50">
        <v>48</v>
      </c>
      <c r="E50" t="s">
        <v>1604</v>
      </c>
      <c r="F50" t="s">
        <v>59</v>
      </c>
      <c r="G50">
        <v>364338</v>
      </c>
      <c r="H50">
        <v>91054</v>
      </c>
      <c r="I50">
        <v>103727</v>
      </c>
      <c r="J50" t="s">
        <v>1600</v>
      </c>
      <c r="K50" t="s">
        <v>23</v>
      </c>
      <c r="L50" t="s">
        <v>17</v>
      </c>
    </row>
    <row r="51" spans="1:12" x14ac:dyDescent="0.3">
      <c r="A51" t="s">
        <v>172</v>
      </c>
      <c r="B51" t="s">
        <v>1143</v>
      </c>
      <c r="C51" t="s">
        <v>14</v>
      </c>
      <c r="D51">
        <v>42</v>
      </c>
      <c r="E51" t="s">
        <v>1604</v>
      </c>
      <c r="F51" t="s">
        <v>59</v>
      </c>
      <c r="G51">
        <v>252076.5122</v>
      </c>
      <c r="H51">
        <v>136937</v>
      </c>
      <c r="I51">
        <v>132762</v>
      </c>
      <c r="J51" t="s">
        <v>1600</v>
      </c>
      <c r="K51" t="s">
        <v>16</v>
      </c>
      <c r="L51" t="s">
        <v>17</v>
      </c>
    </row>
    <row r="52" spans="1:12" x14ac:dyDescent="0.3">
      <c r="A52" t="s">
        <v>175</v>
      </c>
      <c r="B52" t="s">
        <v>1144</v>
      </c>
      <c r="C52" t="s">
        <v>14</v>
      </c>
      <c r="D52">
        <v>53</v>
      </c>
      <c r="E52" t="s">
        <v>1603</v>
      </c>
      <c r="F52" t="s">
        <v>59</v>
      </c>
      <c r="G52">
        <v>432454</v>
      </c>
      <c r="H52">
        <v>162456</v>
      </c>
      <c r="I52">
        <v>138809</v>
      </c>
      <c r="J52" t="s">
        <v>1600</v>
      </c>
      <c r="K52" t="s">
        <v>33</v>
      </c>
      <c r="L52" t="s">
        <v>24</v>
      </c>
    </row>
    <row r="53" spans="1:12" x14ac:dyDescent="0.3">
      <c r="A53" t="s">
        <v>178</v>
      </c>
      <c r="B53" t="s">
        <v>1145</v>
      </c>
      <c r="C53" t="s">
        <v>14</v>
      </c>
      <c r="D53">
        <v>36</v>
      </c>
      <c r="E53" t="s">
        <v>1604</v>
      </c>
      <c r="F53" t="s">
        <v>59</v>
      </c>
      <c r="G53">
        <v>498522</v>
      </c>
      <c r="H53">
        <v>128296</v>
      </c>
      <c r="I53">
        <v>102110</v>
      </c>
      <c r="J53" t="s">
        <v>1600</v>
      </c>
      <c r="K53" t="s">
        <v>16</v>
      </c>
      <c r="L53" t="s">
        <v>17</v>
      </c>
    </row>
    <row r="54" spans="1:12" x14ac:dyDescent="0.3">
      <c r="A54" t="s">
        <v>181</v>
      </c>
      <c r="B54" t="s">
        <v>1146</v>
      </c>
      <c r="C54" t="s">
        <v>21</v>
      </c>
      <c r="D54">
        <v>29</v>
      </c>
      <c r="E54" t="s">
        <v>13</v>
      </c>
      <c r="F54" t="s">
        <v>22</v>
      </c>
      <c r="G54">
        <v>24638</v>
      </c>
      <c r="H54">
        <v>269939</v>
      </c>
      <c r="I54">
        <v>124648</v>
      </c>
      <c r="J54" t="s">
        <v>1600</v>
      </c>
      <c r="K54" t="s">
        <v>23</v>
      </c>
      <c r="L54" t="s">
        <v>24</v>
      </c>
    </row>
    <row r="55" spans="1:12" x14ac:dyDescent="0.3">
      <c r="A55" t="s">
        <v>184</v>
      </c>
      <c r="B55" t="s">
        <v>1147</v>
      </c>
      <c r="C55" t="s">
        <v>14</v>
      </c>
      <c r="D55">
        <v>26</v>
      </c>
      <c r="E55" t="s">
        <v>13</v>
      </c>
      <c r="F55" t="s">
        <v>22</v>
      </c>
      <c r="G55">
        <v>154934</v>
      </c>
      <c r="H55">
        <v>59613</v>
      </c>
      <c r="I55">
        <v>70957</v>
      </c>
      <c r="J55" t="s">
        <v>1599</v>
      </c>
      <c r="K55" t="s">
        <v>23</v>
      </c>
      <c r="L55" t="s">
        <v>24</v>
      </c>
    </row>
    <row r="56" spans="1:12" x14ac:dyDescent="0.3">
      <c r="A56" t="s">
        <v>185</v>
      </c>
      <c r="B56" t="s">
        <v>1148</v>
      </c>
      <c r="C56" t="s">
        <v>21</v>
      </c>
      <c r="D56">
        <v>39</v>
      </c>
      <c r="E56" t="s">
        <v>1604</v>
      </c>
      <c r="F56" t="s">
        <v>22</v>
      </c>
      <c r="G56">
        <v>307691</v>
      </c>
      <c r="H56">
        <v>14360</v>
      </c>
      <c r="I56">
        <v>43277</v>
      </c>
      <c r="J56" t="s">
        <v>1601</v>
      </c>
      <c r="K56" t="s">
        <v>16</v>
      </c>
      <c r="L56" t="s">
        <v>24</v>
      </c>
    </row>
    <row r="57" spans="1:12" x14ac:dyDescent="0.3">
      <c r="A57" t="s">
        <v>187</v>
      </c>
      <c r="B57" t="s">
        <v>1149</v>
      </c>
      <c r="C57" t="s">
        <v>58</v>
      </c>
      <c r="D57">
        <v>39.868583162217661</v>
      </c>
      <c r="E57" t="s">
        <v>1604</v>
      </c>
      <c r="F57" t="s">
        <v>59</v>
      </c>
      <c r="G57">
        <v>389788</v>
      </c>
      <c r="H57">
        <v>111897</v>
      </c>
      <c r="I57">
        <v>21066</v>
      </c>
      <c r="J57" t="s">
        <v>1601</v>
      </c>
      <c r="K57" t="s">
        <v>16</v>
      </c>
      <c r="L57" t="s">
        <v>17</v>
      </c>
    </row>
    <row r="58" spans="1:12" x14ac:dyDescent="0.3">
      <c r="A58" t="s">
        <v>190</v>
      </c>
      <c r="B58" t="s">
        <v>1150</v>
      </c>
      <c r="C58" t="s">
        <v>21</v>
      </c>
      <c r="D58">
        <v>55</v>
      </c>
      <c r="E58" t="s">
        <v>1603</v>
      </c>
      <c r="F58" t="s">
        <v>59</v>
      </c>
      <c r="G58">
        <v>192435</v>
      </c>
      <c r="H58">
        <v>223701</v>
      </c>
      <c r="I58">
        <v>119441</v>
      </c>
      <c r="J58" t="s">
        <v>1600</v>
      </c>
      <c r="K58" t="s">
        <v>33</v>
      </c>
      <c r="L58" t="s">
        <v>17</v>
      </c>
    </row>
    <row r="59" spans="1:12" x14ac:dyDescent="0.3">
      <c r="A59" t="s">
        <v>193</v>
      </c>
      <c r="B59" t="s">
        <v>1151</v>
      </c>
      <c r="C59" t="s">
        <v>21</v>
      </c>
      <c r="D59">
        <v>35</v>
      </c>
      <c r="E59" t="s">
        <v>1604</v>
      </c>
      <c r="F59" t="s">
        <v>1590</v>
      </c>
      <c r="G59">
        <v>176061</v>
      </c>
      <c r="H59">
        <v>133505.5</v>
      </c>
      <c r="I59">
        <v>134466</v>
      </c>
      <c r="J59" t="s">
        <v>1600</v>
      </c>
      <c r="K59" t="s">
        <v>16</v>
      </c>
      <c r="L59" t="s">
        <v>24</v>
      </c>
    </row>
    <row r="60" spans="1:12" x14ac:dyDescent="0.3">
      <c r="A60" t="s">
        <v>196</v>
      </c>
      <c r="B60" t="s">
        <v>1152</v>
      </c>
      <c r="C60" t="s">
        <v>21</v>
      </c>
      <c r="D60">
        <v>25</v>
      </c>
      <c r="E60" t="s">
        <v>13</v>
      </c>
      <c r="F60" t="s">
        <v>59</v>
      </c>
      <c r="G60">
        <v>157455</v>
      </c>
      <c r="H60">
        <v>31863</v>
      </c>
      <c r="I60">
        <v>127242</v>
      </c>
      <c r="J60" t="s">
        <v>1600</v>
      </c>
      <c r="K60" t="s">
        <v>16</v>
      </c>
      <c r="L60" t="s">
        <v>24</v>
      </c>
    </row>
    <row r="61" spans="1:12" x14ac:dyDescent="0.3">
      <c r="A61" t="s">
        <v>199</v>
      </c>
      <c r="B61" t="s">
        <v>1153</v>
      </c>
      <c r="C61" t="s">
        <v>48</v>
      </c>
      <c r="D61">
        <v>22</v>
      </c>
      <c r="E61" t="s">
        <v>13</v>
      </c>
      <c r="F61" t="s">
        <v>22</v>
      </c>
      <c r="G61">
        <v>391639</v>
      </c>
      <c r="H61">
        <v>27554</v>
      </c>
      <c r="I61">
        <v>100523</v>
      </c>
      <c r="J61" t="s">
        <v>1600</v>
      </c>
      <c r="K61" t="s">
        <v>16</v>
      </c>
      <c r="L61" t="s">
        <v>24</v>
      </c>
    </row>
    <row r="62" spans="1:12" x14ac:dyDescent="0.3">
      <c r="A62" t="s">
        <v>202</v>
      </c>
      <c r="B62" t="s">
        <v>1154</v>
      </c>
      <c r="C62" t="s">
        <v>14</v>
      </c>
      <c r="D62">
        <v>24</v>
      </c>
      <c r="E62" t="s">
        <v>13</v>
      </c>
      <c r="F62" t="s">
        <v>22</v>
      </c>
      <c r="G62">
        <v>252076.5122</v>
      </c>
      <c r="H62">
        <v>100584</v>
      </c>
      <c r="I62">
        <v>35602</v>
      </c>
      <c r="J62" t="s">
        <v>1601</v>
      </c>
      <c r="K62" t="s">
        <v>16</v>
      </c>
      <c r="L62" t="s">
        <v>24</v>
      </c>
    </row>
    <row r="63" spans="1:12" x14ac:dyDescent="0.3">
      <c r="A63" t="s">
        <v>205</v>
      </c>
      <c r="B63" t="s">
        <v>1155</v>
      </c>
      <c r="C63" t="s">
        <v>48</v>
      </c>
      <c r="D63">
        <v>22</v>
      </c>
      <c r="E63" t="s">
        <v>13</v>
      </c>
      <c r="F63" t="s">
        <v>1590</v>
      </c>
      <c r="G63">
        <v>209286</v>
      </c>
      <c r="H63">
        <v>58952</v>
      </c>
      <c r="I63">
        <v>142309</v>
      </c>
      <c r="J63" t="s">
        <v>1600</v>
      </c>
      <c r="K63" t="s">
        <v>33</v>
      </c>
      <c r="L63" t="s">
        <v>17</v>
      </c>
    </row>
    <row r="64" spans="1:12" x14ac:dyDescent="0.3">
      <c r="A64" t="s">
        <v>208</v>
      </c>
      <c r="B64" t="s">
        <v>1156</v>
      </c>
      <c r="C64" t="s">
        <v>14</v>
      </c>
      <c r="D64">
        <v>32</v>
      </c>
      <c r="E64" t="s">
        <v>1604</v>
      </c>
      <c r="F64" t="s">
        <v>59</v>
      </c>
      <c r="G64">
        <v>320133</v>
      </c>
      <c r="H64">
        <v>68265</v>
      </c>
      <c r="I64">
        <v>96140</v>
      </c>
      <c r="J64" t="s">
        <v>1599</v>
      </c>
      <c r="K64" t="s">
        <v>23</v>
      </c>
      <c r="L64" t="s">
        <v>24</v>
      </c>
    </row>
    <row r="65" spans="1:12" x14ac:dyDescent="0.3">
      <c r="A65" t="s">
        <v>211</v>
      </c>
      <c r="B65" t="s">
        <v>1157</v>
      </c>
      <c r="C65" t="s">
        <v>58</v>
      </c>
      <c r="D65">
        <v>40</v>
      </c>
      <c r="E65" t="s">
        <v>1604</v>
      </c>
      <c r="F65" t="s">
        <v>22</v>
      </c>
      <c r="G65">
        <v>169071</v>
      </c>
      <c r="H65">
        <v>90389</v>
      </c>
      <c r="I65">
        <v>27537</v>
      </c>
      <c r="J65" t="s">
        <v>1601</v>
      </c>
      <c r="K65" t="s">
        <v>23</v>
      </c>
      <c r="L65" t="s">
        <v>17</v>
      </c>
    </row>
    <row r="66" spans="1:12" x14ac:dyDescent="0.3">
      <c r="A66" t="s">
        <v>214</v>
      </c>
      <c r="B66" t="s">
        <v>1158</v>
      </c>
      <c r="C66" t="s">
        <v>44</v>
      </c>
      <c r="D66">
        <v>51</v>
      </c>
      <c r="E66" t="s">
        <v>1603</v>
      </c>
      <c r="F66" t="s">
        <v>59</v>
      </c>
      <c r="G66">
        <v>369541</v>
      </c>
      <c r="H66">
        <v>273922</v>
      </c>
      <c r="I66">
        <v>37790</v>
      </c>
      <c r="J66" t="s">
        <v>1601</v>
      </c>
      <c r="K66" t="s">
        <v>33</v>
      </c>
      <c r="L66" t="s">
        <v>24</v>
      </c>
    </row>
    <row r="67" spans="1:12" x14ac:dyDescent="0.3">
      <c r="A67" t="s">
        <v>216</v>
      </c>
      <c r="B67" t="s">
        <v>1159</v>
      </c>
      <c r="C67" t="s">
        <v>21</v>
      </c>
      <c r="D67">
        <v>34</v>
      </c>
      <c r="E67" t="s">
        <v>1604</v>
      </c>
      <c r="F67" t="s">
        <v>59</v>
      </c>
      <c r="G67">
        <v>312648</v>
      </c>
      <c r="H67">
        <v>297858</v>
      </c>
      <c r="I67">
        <v>15872</v>
      </c>
      <c r="J67" t="s">
        <v>1601</v>
      </c>
      <c r="K67" t="s">
        <v>23</v>
      </c>
      <c r="L67" t="s">
        <v>24</v>
      </c>
    </row>
    <row r="68" spans="1:12" x14ac:dyDescent="0.3">
      <c r="A68" t="s">
        <v>218</v>
      </c>
      <c r="B68" t="s">
        <v>1160</v>
      </c>
      <c r="C68" t="s">
        <v>58</v>
      </c>
      <c r="D68">
        <v>35</v>
      </c>
      <c r="E68" t="s">
        <v>1604</v>
      </c>
      <c r="F68" t="s">
        <v>59</v>
      </c>
      <c r="G68">
        <v>254939</v>
      </c>
      <c r="H68">
        <v>23605</v>
      </c>
      <c r="I68">
        <v>45649</v>
      </c>
      <c r="J68" t="s">
        <v>1601</v>
      </c>
      <c r="K68" t="s">
        <v>33</v>
      </c>
      <c r="L68" t="s">
        <v>24</v>
      </c>
    </row>
    <row r="69" spans="1:12" x14ac:dyDescent="0.3">
      <c r="A69" t="s">
        <v>220</v>
      </c>
      <c r="B69" t="s">
        <v>1161</v>
      </c>
      <c r="C69" t="s">
        <v>44</v>
      </c>
      <c r="D69">
        <v>33</v>
      </c>
      <c r="E69" t="s">
        <v>1604</v>
      </c>
      <c r="F69" t="s">
        <v>22</v>
      </c>
      <c r="G69">
        <v>499776</v>
      </c>
      <c r="H69">
        <v>135392</v>
      </c>
      <c r="I69">
        <v>37056</v>
      </c>
      <c r="J69" t="s">
        <v>1601</v>
      </c>
      <c r="K69" t="s">
        <v>23</v>
      </c>
      <c r="L69" t="s">
        <v>24</v>
      </c>
    </row>
    <row r="70" spans="1:12" x14ac:dyDescent="0.3">
      <c r="A70" t="s">
        <v>223</v>
      </c>
      <c r="B70" t="s">
        <v>1162</v>
      </c>
      <c r="C70" t="s">
        <v>21</v>
      </c>
      <c r="D70">
        <v>50</v>
      </c>
      <c r="E70" t="s">
        <v>1604</v>
      </c>
      <c r="F70" t="s">
        <v>59</v>
      </c>
      <c r="G70">
        <v>242966</v>
      </c>
      <c r="H70">
        <v>244312</v>
      </c>
      <c r="I70">
        <v>144112</v>
      </c>
      <c r="J70" t="s">
        <v>1600</v>
      </c>
      <c r="K70" t="s">
        <v>23</v>
      </c>
      <c r="L70" t="s">
        <v>17</v>
      </c>
    </row>
    <row r="71" spans="1:12" x14ac:dyDescent="0.3">
      <c r="A71" t="s">
        <v>226</v>
      </c>
      <c r="B71" t="s">
        <v>1163</v>
      </c>
      <c r="C71" t="s">
        <v>44</v>
      </c>
      <c r="D71">
        <v>51</v>
      </c>
      <c r="E71" t="s">
        <v>1603</v>
      </c>
      <c r="F71" t="s">
        <v>22</v>
      </c>
      <c r="G71">
        <v>50013</v>
      </c>
      <c r="H71">
        <v>176423</v>
      </c>
      <c r="I71">
        <v>74597</v>
      </c>
      <c r="J71" t="s">
        <v>1599</v>
      </c>
      <c r="K71" t="s">
        <v>16</v>
      </c>
      <c r="L71" t="s">
        <v>17</v>
      </c>
    </row>
    <row r="72" spans="1:12" x14ac:dyDescent="0.3">
      <c r="A72" t="s">
        <v>229</v>
      </c>
      <c r="B72" t="s">
        <v>1164</v>
      </c>
      <c r="C72" t="s">
        <v>58</v>
      </c>
      <c r="D72">
        <v>31</v>
      </c>
      <c r="E72" t="s">
        <v>1604</v>
      </c>
      <c r="F72" t="s">
        <v>22</v>
      </c>
      <c r="G72">
        <v>252076.5122</v>
      </c>
      <c r="H72">
        <v>293560</v>
      </c>
      <c r="I72">
        <v>124760</v>
      </c>
      <c r="J72" t="s">
        <v>1600</v>
      </c>
      <c r="K72" t="s">
        <v>23</v>
      </c>
      <c r="L72" t="s">
        <v>24</v>
      </c>
    </row>
    <row r="73" spans="1:12" x14ac:dyDescent="0.3">
      <c r="A73" t="s">
        <v>231</v>
      </c>
      <c r="B73" t="s">
        <v>1165</v>
      </c>
      <c r="C73" t="s">
        <v>21</v>
      </c>
      <c r="D73">
        <v>53</v>
      </c>
      <c r="E73" t="s">
        <v>1603</v>
      </c>
      <c r="F73" t="s">
        <v>59</v>
      </c>
      <c r="G73">
        <v>128175</v>
      </c>
      <c r="H73">
        <v>66663</v>
      </c>
      <c r="I73">
        <v>77373</v>
      </c>
      <c r="J73" t="s">
        <v>1599</v>
      </c>
      <c r="K73" t="s">
        <v>16</v>
      </c>
      <c r="L73" t="s">
        <v>17</v>
      </c>
    </row>
    <row r="74" spans="1:12" x14ac:dyDescent="0.3">
      <c r="A74" t="s">
        <v>234</v>
      </c>
      <c r="B74" t="s">
        <v>1166</v>
      </c>
      <c r="C74" t="s">
        <v>44</v>
      </c>
      <c r="D74">
        <v>38</v>
      </c>
      <c r="E74" t="s">
        <v>1604</v>
      </c>
      <c r="F74" t="s">
        <v>22</v>
      </c>
      <c r="G74">
        <v>246560</v>
      </c>
      <c r="H74">
        <v>88354</v>
      </c>
      <c r="I74">
        <v>24069</v>
      </c>
      <c r="J74" t="s">
        <v>1601</v>
      </c>
      <c r="K74" t="s">
        <v>33</v>
      </c>
      <c r="L74" t="s">
        <v>17</v>
      </c>
    </row>
    <row r="75" spans="1:12" x14ac:dyDescent="0.3">
      <c r="A75" t="s">
        <v>237</v>
      </c>
      <c r="B75" t="s">
        <v>1167</v>
      </c>
      <c r="C75" t="s">
        <v>44</v>
      </c>
      <c r="D75">
        <v>42</v>
      </c>
      <c r="E75" t="s">
        <v>1604</v>
      </c>
      <c r="F75" t="s">
        <v>1590</v>
      </c>
      <c r="G75">
        <v>252076.5122</v>
      </c>
      <c r="H75">
        <v>104525</v>
      </c>
      <c r="I75">
        <v>14252</v>
      </c>
      <c r="J75" t="s">
        <v>1601</v>
      </c>
      <c r="K75" t="s">
        <v>23</v>
      </c>
      <c r="L75" t="s">
        <v>24</v>
      </c>
    </row>
    <row r="76" spans="1:12" x14ac:dyDescent="0.3">
      <c r="A76" t="s">
        <v>239</v>
      </c>
      <c r="B76" t="s">
        <v>1168</v>
      </c>
      <c r="C76" t="s">
        <v>48</v>
      </c>
      <c r="D76">
        <v>40</v>
      </c>
      <c r="E76" t="s">
        <v>1604</v>
      </c>
      <c r="F76" t="s">
        <v>59</v>
      </c>
      <c r="G76">
        <v>303558</v>
      </c>
      <c r="H76">
        <v>255099</v>
      </c>
      <c r="I76">
        <v>47105</v>
      </c>
      <c r="J76" t="s">
        <v>1601</v>
      </c>
      <c r="K76" t="s">
        <v>16</v>
      </c>
      <c r="L76" t="s">
        <v>24</v>
      </c>
    </row>
    <row r="77" spans="1:12" x14ac:dyDescent="0.3">
      <c r="A77" t="s">
        <v>242</v>
      </c>
      <c r="B77" t="s">
        <v>1169</v>
      </c>
      <c r="C77" t="s">
        <v>48</v>
      </c>
      <c r="D77">
        <v>31</v>
      </c>
      <c r="E77" t="s">
        <v>1604</v>
      </c>
      <c r="F77" t="s">
        <v>59</v>
      </c>
      <c r="G77">
        <v>175153</v>
      </c>
      <c r="H77">
        <v>208967</v>
      </c>
      <c r="I77">
        <v>63122</v>
      </c>
      <c r="J77" t="s">
        <v>1599</v>
      </c>
      <c r="K77" t="s">
        <v>23</v>
      </c>
      <c r="L77" t="s">
        <v>24</v>
      </c>
    </row>
    <row r="78" spans="1:12" x14ac:dyDescent="0.3">
      <c r="A78" t="s">
        <v>244</v>
      </c>
      <c r="B78" t="s">
        <v>1170</v>
      </c>
      <c r="C78" t="s">
        <v>48</v>
      </c>
      <c r="D78">
        <v>31</v>
      </c>
      <c r="E78" t="s">
        <v>1604</v>
      </c>
      <c r="F78" t="s">
        <v>59</v>
      </c>
      <c r="G78">
        <v>65007</v>
      </c>
      <c r="H78">
        <v>184413.71429999999</v>
      </c>
      <c r="I78">
        <v>97917</v>
      </c>
      <c r="J78" t="s">
        <v>1599</v>
      </c>
      <c r="K78" t="s">
        <v>33</v>
      </c>
      <c r="L78" t="s">
        <v>17</v>
      </c>
    </row>
    <row r="79" spans="1:12" x14ac:dyDescent="0.3">
      <c r="A79" t="s">
        <v>246</v>
      </c>
      <c r="B79" t="s">
        <v>1171</v>
      </c>
      <c r="C79" t="s">
        <v>58</v>
      </c>
      <c r="D79">
        <v>54</v>
      </c>
      <c r="E79" t="s">
        <v>1603</v>
      </c>
      <c r="F79" t="s">
        <v>1590</v>
      </c>
      <c r="G79">
        <v>240234</v>
      </c>
      <c r="H79">
        <v>292742</v>
      </c>
      <c r="I79">
        <v>58877</v>
      </c>
      <c r="J79" t="s">
        <v>1599</v>
      </c>
      <c r="K79" t="s">
        <v>33</v>
      </c>
      <c r="L79" t="s">
        <v>17</v>
      </c>
    </row>
    <row r="80" spans="1:12" x14ac:dyDescent="0.3">
      <c r="A80" t="s">
        <v>248</v>
      </c>
      <c r="B80" t="s">
        <v>1172</v>
      </c>
      <c r="C80" t="s">
        <v>44</v>
      </c>
      <c r="D80">
        <v>39</v>
      </c>
      <c r="E80" t="s">
        <v>1604</v>
      </c>
      <c r="F80" t="s">
        <v>59</v>
      </c>
      <c r="G80">
        <v>365810</v>
      </c>
      <c r="H80">
        <v>280288</v>
      </c>
      <c r="I80">
        <v>104256</v>
      </c>
      <c r="J80" t="s">
        <v>1600</v>
      </c>
      <c r="K80" t="s">
        <v>23</v>
      </c>
      <c r="L80" t="s">
        <v>17</v>
      </c>
    </row>
    <row r="81" spans="1:12" x14ac:dyDescent="0.3">
      <c r="A81" t="s">
        <v>250</v>
      </c>
      <c r="B81" t="s">
        <v>1173</v>
      </c>
      <c r="C81" t="s">
        <v>48</v>
      </c>
      <c r="D81">
        <v>42</v>
      </c>
      <c r="E81" t="s">
        <v>1604</v>
      </c>
      <c r="F81" t="s">
        <v>59</v>
      </c>
      <c r="G81">
        <v>271152</v>
      </c>
      <c r="H81">
        <v>123703</v>
      </c>
      <c r="I81">
        <v>41784</v>
      </c>
      <c r="J81" t="s">
        <v>1601</v>
      </c>
      <c r="K81" t="s">
        <v>16</v>
      </c>
      <c r="L81" t="s">
        <v>17</v>
      </c>
    </row>
    <row r="82" spans="1:12" x14ac:dyDescent="0.3">
      <c r="A82" t="s">
        <v>252</v>
      </c>
      <c r="B82" t="s">
        <v>1174</v>
      </c>
      <c r="C82" t="s">
        <v>21</v>
      </c>
      <c r="D82">
        <v>26</v>
      </c>
      <c r="E82" t="s">
        <v>13</v>
      </c>
      <c r="F82" t="s">
        <v>1590</v>
      </c>
      <c r="G82">
        <v>276817</v>
      </c>
      <c r="H82">
        <v>21940</v>
      </c>
      <c r="I82">
        <v>121421</v>
      </c>
      <c r="J82" t="s">
        <v>1600</v>
      </c>
      <c r="K82" t="s">
        <v>33</v>
      </c>
      <c r="L82" t="s">
        <v>24</v>
      </c>
    </row>
    <row r="83" spans="1:12" x14ac:dyDescent="0.3">
      <c r="A83" t="s">
        <v>254</v>
      </c>
      <c r="B83" t="s">
        <v>1175</v>
      </c>
      <c r="C83" t="s">
        <v>44</v>
      </c>
      <c r="D83">
        <v>48</v>
      </c>
      <c r="E83" t="s">
        <v>1604</v>
      </c>
      <c r="F83" t="s">
        <v>22</v>
      </c>
      <c r="G83">
        <v>162326</v>
      </c>
      <c r="H83">
        <v>33262</v>
      </c>
      <c r="I83">
        <v>11683</v>
      </c>
      <c r="J83" t="s">
        <v>1601</v>
      </c>
      <c r="K83" t="s">
        <v>23</v>
      </c>
      <c r="L83" t="s">
        <v>17</v>
      </c>
    </row>
    <row r="84" spans="1:12" x14ac:dyDescent="0.3">
      <c r="A84" t="s">
        <v>257</v>
      </c>
      <c r="B84" t="s">
        <v>1176</v>
      </c>
      <c r="C84" t="s">
        <v>58</v>
      </c>
      <c r="D84">
        <v>44</v>
      </c>
      <c r="E84" t="s">
        <v>1604</v>
      </c>
      <c r="F84" t="s">
        <v>22</v>
      </c>
      <c r="G84">
        <v>26693</v>
      </c>
      <c r="H84">
        <v>164325</v>
      </c>
      <c r="I84">
        <v>59378</v>
      </c>
      <c r="J84" t="s">
        <v>1599</v>
      </c>
      <c r="K84" t="s">
        <v>23</v>
      </c>
      <c r="L84" t="s">
        <v>17</v>
      </c>
    </row>
    <row r="85" spans="1:12" x14ac:dyDescent="0.3">
      <c r="A85" t="s">
        <v>259</v>
      </c>
      <c r="B85" t="s">
        <v>1177</v>
      </c>
      <c r="C85" t="s">
        <v>21</v>
      </c>
      <c r="D85">
        <v>22</v>
      </c>
      <c r="E85" t="s">
        <v>13</v>
      </c>
      <c r="F85" t="s">
        <v>22</v>
      </c>
      <c r="G85">
        <v>253095</v>
      </c>
      <c r="H85">
        <v>151123</v>
      </c>
      <c r="I85">
        <v>16393</v>
      </c>
      <c r="J85" t="s">
        <v>1601</v>
      </c>
      <c r="K85" t="s">
        <v>16</v>
      </c>
      <c r="L85" t="s">
        <v>24</v>
      </c>
    </row>
    <row r="86" spans="1:12" x14ac:dyDescent="0.3">
      <c r="A86" t="s">
        <v>262</v>
      </c>
      <c r="B86" t="s">
        <v>1178</v>
      </c>
      <c r="C86" t="s">
        <v>44</v>
      </c>
      <c r="D86">
        <v>50</v>
      </c>
      <c r="E86" t="s">
        <v>1604</v>
      </c>
      <c r="F86" t="s">
        <v>22</v>
      </c>
      <c r="G86">
        <v>252076.5122</v>
      </c>
      <c r="H86">
        <v>191793</v>
      </c>
      <c r="I86">
        <v>73677</v>
      </c>
      <c r="J86" t="s">
        <v>1599</v>
      </c>
      <c r="K86" t="s">
        <v>33</v>
      </c>
      <c r="L86" t="s">
        <v>24</v>
      </c>
    </row>
    <row r="87" spans="1:12" x14ac:dyDescent="0.3">
      <c r="A87" t="s">
        <v>264</v>
      </c>
      <c r="B87" t="s">
        <v>1179</v>
      </c>
      <c r="C87" t="s">
        <v>21</v>
      </c>
      <c r="D87">
        <v>29</v>
      </c>
      <c r="E87" t="s">
        <v>13</v>
      </c>
      <c r="F87" t="s">
        <v>59</v>
      </c>
      <c r="G87">
        <v>465709</v>
      </c>
      <c r="H87">
        <v>273873</v>
      </c>
      <c r="I87">
        <v>80064</v>
      </c>
      <c r="J87" t="s">
        <v>1599</v>
      </c>
      <c r="K87" t="s">
        <v>33</v>
      </c>
      <c r="L87" t="s">
        <v>17</v>
      </c>
    </row>
    <row r="88" spans="1:12" x14ac:dyDescent="0.3">
      <c r="A88" t="s">
        <v>266</v>
      </c>
      <c r="B88" t="s">
        <v>1180</v>
      </c>
      <c r="C88" t="s">
        <v>58</v>
      </c>
      <c r="D88">
        <v>26</v>
      </c>
      <c r="E88" t="s">
        <v>13</v>
      </c>
      <c r="F88" t="s">
        <v>59</v>
      </c>
      <c r="G88">
        <v>243375</v>
      </c>
      <c r="H88">
        <v>144627.29999999999</v>
      </c>
      <c r="I88">
        <v>103915</v>
      </c>
      <c r="J88" t="s">
        <v>1600</v>
      </c>
      <c r="K88" t="s">
        <v>23</v>
      </c>
      <c r="L88" t="s">
        <v>24</v>
      </c>
    </row>
    <row r="89" spans="1:12" x14ac:dyDescent="0.3">
      <c r="A89" t="s">
        <v>268</v>
      </c>
      <c r="B89" t="s">
        <v>1181</v>
      </c>
      <c r="C89" t="s">
        <v>14</v>
      </c>
      <c r="D89">
        <v>50</v>
      </c>
      <c r="E89" t="s">
        <v>1604</v>
      </c>
      <c r="F89" t="s">
        <v>1590</v>
      </c>
      <c r="G89">
        <v>319309</v>
      </c>
      <c r="H89">
        <v>70456</v>
      </c>
      <c r="I89">
        <v>47810</v>
      </c>
      <c r="J89" t="s">
        <v>1601</v>
      </c>
      <c r="K89" t="s">
        <v>23</v>
      </c>
      <c r="L89" t="s">
        <v>24</v>
      </c>
    </row>
    <row r="90" spans="1:12" x14ac:dyDescent="0.3">
      <c r="A90" t="s">
        <v>271</v>
      </c>
      <c r="B90" t="s">
        <v>1182</v>
      </c>
      <c r="C90" t="s">
        <v>58</v>
      </c>
      <c r="D90">
        <v>52</v>
      </c>
      <c r="E90" t="s">
        <v>1603</v>
      </c>
      <c r="F90" t="s">
        <v>59</v>
      </c>
      <c r="G90">
        <v>478333</v>
      </c>
      <c r="H90">
        <v>15424</v>
      </c>
      <c r="I90">
        <v>96576</v>
      </c>
      <c r="J90" t="s">
        <v>1599</v>
      </c>
      <c r="K90" t="s">
        <v>33</v>
      </c>
      <c r="L90" t="s">
        <v>24</v>
      </c>
    </row>
    <row r="91" spans="1:12" x14ac:dyDescent="0.3">
      <c r="A91" t="s">
        <v>272</v>
      </c>
      <c r="B91" t="s">
        <v>1183</v>
      </c>
      <c r="C91" t="s">
        <v>58</v>
      </c>
      <c r="D91">
        <v>58</v>
      </c>
      <c r="E91" t="s">
        <v>1603</v>
      </c>
      <c r="F91" t="s">
        <v>22</v>
      </c>
      <c r="G91">
        <v>259971</v>
      </c>
      <c r="H91">
        <v>86493</v>
      </c>
      <c r="I91">
        <v>35064</v>
      </c>
      <c r="J91" t="s">
        <v>1601</v>
      </c>
      <c r="K91" t="s">
        <v>23</v>
      </c>
      <c r="L91" t="s">
        <v>17</v>
      </c>
    </row>
    <row r="92" spans="1:12" x14ac:dyDescent="0.3">
      <c r="A92" t="s">
        <v>273</v>
      </c>
      <c r="B92" t="s">
        <v>1184</v>
      </c>
      <c r="C92" t="s">
        <v>14</v>
      </c>
      <c r="D92">
        <v>37</v>
      </c>
      <c r="E92" t="s">
        <v>1604</v>
      </c>
      <c r="F92" t="s">
        <v>22</v>
      </c>
      <c r="G92">
        <v>244438</v>
      </c>
      <c r="H92">
        <v>198147</v>
      </c>
      <c r="I92">
        <v>18978</v>
      </c>
      <c r="J92" t="s">
        <v>1601</v>
      </c>
      <c r="K92" t="s">
        <v>23</v>
      </c>
      <c r="L92" t="s">
        <v>24</v>
      </c>
    </row>
    <row r="93" spans="1:12" x14ac:dyDescent="0.3">
      <c r="A93" t="s">
        <v>276</v>
      </c>
      <c r="B93" t="s">
        <v>1185</v>
      </c>
      <c r="C93" t="s">
        <v>21</v>
      </c>
      <c r="D93">
        <v>44</v>
      </c>
      <c r="E93" t="s">
        <v>1604</v>
      </c>
      <c r="F93" t="s">
        <v>59</v>
      </c>
      <c r="G93">
        <v>191107</v>
      </c>
      <c r="H93">
        <v>18042</v>
      </c>
      <c r="I93">
        <v>95357</v>
      </c>
      <c r="J93" t="s">
        <v>1599</v>
      </c>
      <c r="K93" t="s">
        <v>33</v>
      </c>
      <c r="L93" t="s">
        <v>24</v>
      </c>
    </row>
    <row r="94" spans="1:12" x14ac:dyDescent="0.3">
      <c r="A94" t="s">
        <v>279</v>
      </c>
      <c r="B94" t="s">
        <v>1186</v>
      </c>
      <c r="C94" t="s">
        <v>14</v>
      </c>
      <c r="D94">
        <v>46</v>
      </c>
      <c r="E94" t="s">
        <v>1604</v>
      </c>
      <c r="F94" t="s">
        <v>59</v>
      </c>
      <c r="G94">
        <v>26630</v>
      </c>
      <c r="H94">
        <v>44901</v>
      </c>
      <c r="I94">
        <v>141490</v>
      </c>
      <c r="J94" t="s">
        <v>1600</v>
      </c>
      <c r="K94" t="s">
        <v>16</v>
      </c>
      <c r="L94" t="s">
        <v>24</v>
      </c>
    </row>
    <row r="95" spans="1:12" x14ac:dyDescent="0.3">
      <c r="A95" t="s">
        <v>280</v>
      </c>
      <c r="B95" t="s">
        <v>1187</v>
      </c>
      <c r="C95" t="s">
        <v>48</v>
      </c>
      <c r="D95">
        <v>36</v>
      </c>
      <c r="E95" t="s">
        <v>1604</v>
      </c>
      <c r="F95" t="s">
        <v>22</v>
      </c>
      <c r="G95">
        <v>489137</v>
      </c>
      <c r="H95">
        <v>10926</v>
      </c>
      <c r="I95">
        <v>147692</v>
      </c>
      <c r="J95" t="s">
        <v>1600</v>
      </c>
      <c r="K95" t="s">
        <v>23</v>
      </c>
      <c r="L95" t="s">
        <v>24</v>
      </c>
    </row>
    <row r="96" spans="1:12" x14ac:dyDescent="0.3">
      <c r="A96" t="s">
        <v>283</v>
      </c>
      <c r="B96" t="s">
        <v>1188</v>
      </c>
      <c r="C96" t="s">
        <v>44</v>
      </c>
      <c r="D96">
        <v>22</v>
      </c>
      <c r="E96" t="s">
        <v>13</v>
      </c>
      <c r="F96" t="s">
        <v>22</v>
      </c>
      <c r="G96">
        <v>157271</v>
      </c>
      <c r="H96">
        <v>282313</v>
      </c>
      <c r="I96">
        <v>76580</v>
      </c>
      <c r="J96" t="s">
        <v>1599</v>
      </c>
      <c r="K96" t="s">
        <v>16</v>
      </c>
      <c r="L96" t="s">
        <v>17</v>
      </c>
    </row>
    <row r="97" spans="1:12" x14ac:dyDescent="0.3">
      <c r="A97" t="s">
        <v>285</v>
      </c>
      <c r="B97" t="s">
        <v>1189</v>
      </c>
      <c r="C97" t="s">
        <v>21</v>
      </c>
      <c r="D97">
        <v>52</v>
      </c>
      <c r="E97" t="s">
        <v>1603</v>
      </c>
      <c r="F97" t="s">
        <v>22</v>
      </c>
      <c r="G97">
        <v>450848</v>
      </c>
      <c r="H97">
        <v>97292</v>
      </c>
      <c r="I97">
        <v>91197</v>
      </c>
      <c r="J97" t="s">
        <v>1599</v>
      </c>
      <c r="K97" t="s">
        <v>33</v>
      </c>
      <c r="L97" t="s">
        <v>17</v>
      </c>
    </row>
    <row r="98" spans="1:12" x14ac:dyDescent="0.3">
      <c r="A98" t="s">
        <v>288</v>
      </c>
      <c r="B98" t="s">
        <v>1190</v>
      </c>
      <c r="C98" t="s">
        <v>58</v>
      </c>
      <c r="D98">
        <v>42</v>
      </c>
      <c r="E98" t="s">
        <v>1604</v>
      </c>
      <c r="F98" t="s">
        <v>1590</v>
      </c>
      <c r="G98">
        <v>342738</v>
      </c>
      <c r="H98">
        <v>3460</v>
      </c>
      <c r="I98">
        <v>89204</v>
      </c>
      <c r="J98" t="s">
        <v>1599</v>
      </c>
      <c r="K98" t="s">
        <v>33</v>
      </c>
      <c r="L98" t="s">
        <v>24</v>
      </c>
    </row>
    <row r="99" spans="1:12" x14ac:dyDescent="0.3">
      <c r="A99" t="s">
        <v>291</v>
      </c>
      <c r="B99" t="s">
        <v>1191</v>
      </c>
      <c r="C99" t="s">
        <v>14</v>
      </c>
      <c r="D99">
        <v>55</v>
      </c>
      <c r="E99" t="s">
        <v>1603</v>
      </c>
      <c r="F99" t="s">
        <v>59</v>
      </c>
      <c r="G99">
        <v>440079</v>
      </c>
      <c r="H99">
        <v>79425</v>
      </c>
      <c r="I99">
        <v>92567</v>
      </c>
      <c r="J99" t="s">
        <v>1599</v>
      </c>
      <c r="K99" t="s">
        <v>23</v>
      </c>
      <c r="L99" t="s">
        <v>24</v>
      </c>
    </row>
    <row r="100" spans="1:12" x14ac:dyDescent="0.3">
      <c r="A100" t="s">
        <v>293</v>
      </c>
      <c r="B100" t="s">
        <v>1192</v>
      </c>
      <c r="C100" t="s">
        <v>48</v>
      </c>
      <c r="D100">
        <v>37</v>
      </c>
      <c r="E100" t="s">
        <v>1604</v>
      </c>
      <c r="F100" t="s">
        <v>1590</v>
      </c>
      <c r="G100">
        <v>367420</v>
      </c>
      <c r="H100">
        <v>62562</v>
      </c>
      <c r="I100">
        <v>46449</v>
      </c>
      <c r="J100" t="s">
        <v>1601</v>
      </c>
      <c r="K100" t="s">
        <v>23</v>
      </c>
      <c r="L100" t="s">
        <v>17</v>
      </c>
    </row>
    <row r="101" spans="1:12" x14ac:dyDescent="0.3">
      <c r="A101" t="s">
        <v>296</v>
      </c>
      <c r="B101" t="s">
        <v>1193</v>
      </c>
      <c r="C101" t="s">
        <v>44</v>
      </c>
      <c r="D101">
        <v>36</v>
      </c>
      <c r="E101" t="s">
        <v>1604</v>
      </c>
      <c r="F101" t="s">
        <v>22</v>
      </c>
      <c r="G101">
        <v>231646</v>
      </c>
      <c r="H101">
        <v>257042</v>
      </c>
      <c r="I101">
        <v>42793</v>
      </c>
      <c r="J101" t="s">
        <v>1601</v>
      </c>
      <c r="K101" t="s">
        <v>23</v>
      </c>
      <c r="L101" t="s">
        <v>24</v>
      </c>
    </row>
    <row r="102" spans="1:12" x14ac:dyDescent="0.3">
      <c r="A102" t="s">
        <v>298</v>
      </c>
      <c r="B102" t="s">
        <v>1194</v>
      </c>
      <c r="C102" t="s">
        <v>48</v>
      </c>
      <c r="D102">
        <v>45</v>
      </c>
      <c r="E102" t="s">
        <v>1604</v>
      </c>
      <c r="F102" t="s">
        <v>59</v>
      </c>
      <c r="G102">
        <v>374377</v>
      </c>
      <c r="H102">
        <v>224721</v>
      </c>
      <c r="I102">
        <v>13573</v>
      </c>
      <c r="J102" t="s">
        <v>1601</v>
      </c>
      <c r="K102" t="s">
        <v>16</v>
      </c>
      <c r="L102" t="s">
        <v>24</v>
      </c>
    </row>
    <row r="103" spans="1:12" x14ac:dyDescent="0.3">
      <c r="A103" t="s">
        <v>301</v>
      </c>
      <c r="B103" t="s">
        <v>1195</v>
      </c>
      <c r="C103" t="s">
        <v>21</v>
      </c>
      <c r="D103">
        <v>35</v>
      </c>
      <c r="E103" t="s">
        <v>1604</v>
      </c>
      <c r="F103" t="s">
        <v>22</v>
      </c>
      <c r="G103">
        <v>114889</v>
      </c>
      <c r="H103">
        <v>170333</v>
      </c>
      <c r="I103">
        <v>52787</v>
      </c>
      <c r="J103" t="s">
        <v>1599</v>
      </c>
      <c r="K103" t="s">
        <v>33</v>
      </c>
      <c r="L103" t="s">
        <v>24</v>
      </c>
    </row>
    <row r="104" spans="1:12" x14ac:dyDescent="0.3">
      <c r="A104" t="s">
        <v>304</v>
      </c>
      <c r="B104" t="s">
        <v>1196</v>
      </c>
      <c r="C104" t="s">
        <v>48</v>
      </c>
      <c r="D104">
        <v>44</v>
      </c>
      <c r="E104" t="s">
        <v>1604</v>
      </c>
      <c r="F104" t="s">
        <v>1590</v>
      </c>
      <c r="G104">
        <v>8871</v>
      </c>
      <c r="H104">
        <v>143048</v>
      </c>
      <c r="I104">
        <v>136897</v>
      </c>
      <c r="J104" t="s">
        <v>1600</v>
      </c>
      <c r="K104" t="s">
        <v>23</v>
      </c>
      <c r="L104" t="s">
        <v>17</v>
      </c>
    </row>
    <row r="105" spans="1:12" x14ac:dyDescent="0.3">
      <c r="A105" t="s">
        <v>307</v>
      </c>
      <c r="B105" t="s">
        <v>1197</v>
      </c>
      <c r="C105" t="s">
        <v>21</v>
      </c>
      <c r="D105">
        <v>44</v>
      </c>
      <c r="E105" t="s">
        <v>1604</v>
      </c>
      <c r="F105" t="s">
        <v>59</v>
      </c>
      <c r="G105">
        <v>120703</v>
      </c>
      <c r="H105">
        <v>2085</v>
      </c>
      <c r="I105">
        <v>105067</v>
      </c>
      <c r="J105" t="s">
        <v>1600</v>
      </c>
      <c r="K105" t="s">
        <v>16</v>
      </c>
      <c r="L105" t="s">
        <v>24</v>
      </c>
    </row>
    <row r="106" spans="1:12" x14ac:dyDescent="0.3">
      <c r="A106" t="s">
        <v>310</v>
      </c>
      <c r="B106" t="s">
        <v>1198</v>
      </c>
      <c r="C106" t="s">
        <v>44</v>
      </c>
      <c r="D106">
        <v>38</v>
      </c>
      <c r="E106" t="s">
        <v>1604</v>
      </c>
      <c r="F106" t="s">
        <v>22</v>
      </c>
      <c r="G106">
        <v>198032</v>
      </c>
      <c r="H106">
        <v>115288</v>
      </c>
      <c r="I106">
        <v>131182</v>
      </c>
      <c r="J106" t="s">
        <v>1600</v>
      </c>
      <c r="K106" t="s">
        <v>16</v>
      </c>
      <c r="L106" t="s">
        <v>17</v>
      </c>
    </row>
    <row r="107" spans="1:12" x14ac:dyDescent="0.3">
      <c r="A107" t="s">
        <v>312</v>
      </c>
      <c r="B107" t="s">
        <v>1199</v>
      </c>
      <c r="C107" t="s">
        <v>44</v>
      </c>
      <c r="D107">
        <v>57</v>
      </c>
      <c r="E107" t="s">
        <v>1603</v>
      </c>
      <c r="F107" t="s">
        <v>22</v>
      </c>
      <c r="G107">
        <v>335897</v>
      </c>
      <c r="H107">
        <v>33389</v>
      </c>
      <c r="I107">
        <v>120473</v>
      </c>
      <c r="J107" t="s">
        <v>1600</v>
      </c>
      <c r="K107" t="s">
        <v>16</v>
      </c>
      <c r="L107" t="s">
        <v>24</v>
      </c>
    </row>
    <row r="108" spans="1:12" x14ac:dyDescent="0.3">
      <c r="A108" t="s">
        <v>314</v>
      </c>
      <c r="B108" t="s">
        <v>1200</v>
      </c>
      <c r="C108" t="s">
        <v>44</v>
      </c>
      <c r="D108">
        <v>33</v>
      </c>
      <c r="E108" t="s">
        <v>1604</v>
      </c>
      <c r="F108" t="s">
        <v>22</v>
      </c>
      <c r="G108">
        <v>238803</v>
      </c>
      <c r="H108">
        <v>156800.92310000001</v>
      </c>
      <c r="I108">
        <v>115518</v>
      </c>
      <c r="J108" t="s">
        <v>1600</v>
      </c>
      <c r="K108" t="s">
        <v>23</v>
      </c>
      <c r="L108" t="s">
        <v>17</v>
      </c>
    </row>
    <row r="109" spans="1:12" x14ac:dyDescent="0.3">
      <c r="A109" t="s">
        <v>316</v>
      </c>
      <c r="B109" t="s">
        <v>1201</v>
      </c>
      <c r="C109" t="s">
        <v>58</v>
      </c>
      <c r="D109">
        <v>33</v>
      </c>
      <c r="E109" t="s">
        <v>1604</v>
      </c>
      <c r="F109" t="s">
        <v>22</v>
      </c>
      <c r="G109">
        <v>252076.5122</v>
      </c>
      <c r="H109">
        <v>136824</v>
      </c>
      <c r="I109">
        <v>97308</v>
      </c>
      <c r="J109" t="s">
        <v>1599</v>
      </c>
      <c r="K109" t="s">
        <v>16</v>
      </c>
      <c r="L109" t="s">
        <v>24</v>
      </c>
    </row>
    <row r="110" spans="1:12" x14ac:dyDescent="0.3">
      <c r="A110" t="s">
        <v>319</v>
      </c>
      <c r="B110" t="s">
        <v>1202</v>
      </c>
      <c r="C110" t="s">
        <v>48</v>
      </c>
      <c r="D110">
        <v>34</v>
      </c>
      <c r="E110" t="s">
        <v>1604</v>
      </c>
      <c r="F110" t="s">
        <v>1590</v>
      </c>
      <c r="G110">
        <v>16297</v>
      </c>
      <c r="H110">
        <v>208977</v>
      </c>
      <c r="I110">
        <v>41802</v>
      </c>
      <c r="J110" t="s">
        <v>1601</v>
      </c>
      <c r="K110" t="s">
        <v>16</v>
      </c>
      <c r="L110" t="s">
        <v>24</v>
      </c>
    </row>
    <row r="111" spans="1:12" x14ac:dyDescent="0.3">
      <c r="A111" t="s">
        <v>321</v>
      </c>
      <c r="B111" t="s">
        <v>1203</v>
      </c>
      <c r="C111" t="s">
        <v>58</v>
      </c>
      <c r="D111">
        <v>35</v>
      </c>
      <c r="E111" t="s">
        <v>1604</v>
      </c>
      <c r="F111" t="s">
        <v>59</v>
      </c>
      <c r="G111">
        <v>80267</v>
      </c>
      <c r="H111">
        <v>33899</v>
      </c>
      <c r="I111">
        <v>99816</v>
      </c>
      <c r="J111" t="s">
        <v>1599</v>
      </c>
      <c r="K111" t="s">
        <v>33</v>
      </c>
      <c r="L111" t="s">
        <v>17</v>
      </c>
    </row>
    <row r="112" spans="1:12" x14ac:dyDescent="0.3">
      <c r="A112" t="s">
        <v>323</v>
      </c>
      <c r="B112" t="s">
        <v>1204</v>
      </c>
      <c r="C112" t="s">
        <v>58</v>
      </c>
      <c r="D112">
        <v>45</v>
      </c>
      <c r="E112" t="s">
        <v>1604</v>
      </c>
      <c r="F112" t="s">
        <v>59</v>
      </c>
      <c r="G112">
        <v>252076.5122</v>
      </c>
      <c r="H112">
        <v>48154</v>
      </c>
      <c r="I112">
        <v>50530</v>
      </c>
      <c r="J112" t="s">
        <v>1599</v>
      </c>
      <c r="K112" t="s">
        <v>23</v>
      </c>
      <c r="L112" t="s">
        <v>24</v>
      </c>
    </row>
    <row r="113" spans="1:12" x14ac:dyDescent="0.3">
      <c r="A113" t="s">
        <v>326</v>
      </c>
      <c r="B113" t="s">
        <v>1205</v>
      </c>
      <c r="C113" t="s">
        <v>14</v>
      </c>
      <c r="D113">
        <v>44</v>
      </c>
      <c r="E113" t="s">
        <v>1604</v>
      </c>
      <c r="F113" t="s">
        <v>59</v>
      </c>
      <c r="G113">
        <v>80503</v>
      </c>
      <c r="H113">
        <v>33346</v>
      </c>
      <c r="I113">
        <v>137146</v>
      </c>
      <c r="J113" t="s">
        <v>1600</v>
      </c>
      <c r="K113" t="s">
        <v>16</v>
      </c>
      <c r="L113" t="s">
        <v>24</v>
      </c>
    </row>
    <row r="114" spans="1:12" x14ac:dyDescent="0.3">
      <c r="A114" t="s">
        <v>329</v>
      </c>
      <c r="B114" t="s">
        <v>1206</v>
      </c>
      <c r="C114" t="s">
        <v>14</v>
      </c>
      <c r="D114">
        <v>29</v>
      </c>
      <c r="E114" t="s">
        <v>13</v>
      </c>
      <c r="F114" t="s">
        <v>59</v>
      </c>
      <c r="G114">
        <v>127763</v>
      </c>
      <c r="H114">
        <v>126448</v>
      </c>
      <c r="I114">
        <v>116625</v>
      </c>
      <c r="J114" t="s">
        <v>1600</v>
      </c>
      <c r="K114" t="s">
        <v>16</v>
      </c>
      <c r="L114" t="s">
        <v>17</v>
      </c>
    </row>
    <row r="115" spans="1:12" x14ac:dyDescent="0.3">
      <c r="A115" t="s">
        <v>331</v>
      </c>
      <c r="B115" t="s">
        <v>1207</v>
      </c>
      <c r="C115" t="s">
        <v>21</v>
      </c>
      <c r="D115">
        <v>51</v>
      </c>
      <c r="E115" t="s">
        <v>1603</v>
      </c>
      <c r="F115" t="s">
        <v>59</v>
      </c>
      <c r="G115">
        <v>281645</v>
      </c>
      <c r="H115">
        <v>292</v>
      </c>
      <c r="I115">
        <v>138939</v>
      </c>
      <c r="J115" t="s">
        <v>1600</v>
      </c>
      <c r="K115" t="s">
        <v>16</v>
      </c>
      <c r="L115" t="s">
        <v>17</v>
      </c>
    </row>
    <row r="116" spans="1:12" x14ac:dyDescent="0.3">
      <c r="A116" t="s">
        <v>333</v>
      </c>
      <c r="B116" t="s">
        <v>1208</v>
      </c>
      <c r="C116" t="s">
        <v>14</v>
      </c>
      <c r="D116">
        <v>25</v>
      </c>
      <c r="E116" t="s">
        <v>13</v>
      </c>
      <c r="F116" t="s">
        <v>22</v>
      </c>
      <c r="G116">
        <v>398354</v>
      </c>
      <c r="H116">
        <v>123833</v>
      </c>
      <c r="I116">
        <v>31685</v>
      </c>
      <c r="J116" t="s">
        <v>1601</v>
      </c>
      <c r="K116" t="s">
        <v>33</v>
      </c>
      <c r="L116" t="s">
        <v>24</v>
      </c>
    </row>
    <row r="117" spans="1:12" x14ac:dyDescent="0.3">
      <c r="A117" t="s">
        <v>336</v>
      </c>
      <c r="B117" t="s">
        <v>1209</v>
      </c>
      <c r="C117" t="s">
        <v>58</v>
      </c>
      <c r="D117">
        <v>27</v>
      </c>
      <c r="E117" t="s">
        <v>13</v>
      </c>
      <c r="F117" t="s">
        <v>1590</v>
      </c>
      <c r="G117">
        <v>92335</v>
      </c>
      <c r="H117">
        <v>282803</v>
      </c>
      <c r="I117">
        <v>83920</v>
      </c>
      <c r="J117" t="s">
        <v>1599</v>
      </c>
      <c r="K117" t="s">
        <v>16</v>
      </c>
      <c r="L117" t="s">
        <v>17</v>
      </c>
    </row>
    <row r="118" spans="1:12" x14ac:dyDescent="0.3">
      <c r="A118" t="s">
        <v>339</v>
      </c>
      <c r="B118" t="s">
        <v>1210</v>
      </c>
      <c r="C118" t="s">
        <v>21</v>
      </c>
      <c r="D118">
        <v>32</v>
      </c>
      <c r="E118" t="s">
        <v>1604</v>
      </c>
      <c r="F118" t="s">
        <v>22</v>
      </c>
      <c r="G118">
        <v>212363</v>
      </c>
      <c r="H118">
        <v>125112</v>
      </c>
      <c r="I118">
        <v>59296</v>
      </c>
      <c r="J118" t="s">
        <v>1599</v>
      </c>
      <c r="K118" t="s">
        <v>33</v>
      </c>
      <c r="L118" t="s">
        <v>17</v>
      </c>
    </row>
    <row r="119" spans="1:12" x14ac:dyDescent="0.3">
      <c r="A119" t="s">
        <v>342</v>
      </c>
      <c r="B119" t="s">
        <v>1211</v>
      </c>
      <c r="C119" t="s">
        <v>48</v>
      </c>
      <c r="D119">
        <v>56</v>
      </c>
      <c r="E119" t="s">
        <v>1603</v>
      </c>
      <c r="F119" t="s">
        <v>59</v>
      </c>
      <c r="G119">
        <v>252076.5122</v>
      </c>
      <c r="H119">
        <v>108865</v>
      </c>
      <c r="I119">
        <v>16616</v>
      </c>
      <c r="J119" t="s">
        <v>1601</v>
      </c>
      <c r="K119" t="s">
        <v>23</v>
      </c>
      <c r="L119" t="s">
        <v>24</v>
      </c>
    </row>
    <row r="120" spans="1:12" x14ac:dyDescent="0.3">
      <c r="A120" t="s">
        <v>345</v>
      </c>
      <c r="B120" t="s">
        <v>1212</v>
      </c>
      <c r="C120" t="s">
        <v>44</v>
      </c>
      <c r="D120">
        <v>21</v>
      </c>
      <c r="E120" t="s">
        <v>13</v>
      </c>
      <c r="F120" t="s">
        <v>22</v>
      </c>
      <c r="G120">
        <v>398885</v>
      </c>
      <c r="H120">
        <v>113155</v>
      </c>
      <c r="I120">
        <v>82448</v>
      </c>
      <c r="J120" t="s">
        <v>1599</v>
      </c>
      <c r="K120" t="s">
        <v>33</v>
      </c>
      <c r="L120" t="s">
        <v>24</v>
      </c>
    </row>
    <row r="121" spans="1:12" x14ac:dyDescent="0.3">
      <c r="A121" t="s">
        <v>347</v>
      </c>
      <c r="B121" t="s">
        <v>1213</v>
      </c>
      <c r="C121" t="s">
        <v>14</v>
      </c>
      <c r="D121">
        <v>28</v>
      </c>
      <c r="E121" t="s">
        <v>13</v>
      </c>
      <c r="F121" t="s">
        <v>22</v>
      </c>
      <c r="G121">
        <v>175622</v>
      </c>
      <c r="H121">
        <v>109133.4118</v>
      </c>
      <c r="I121">
        <v>115068</v>
      </c>
      <c r="J121" t="s">
        <v>1600</v>
      </c>
      <c r="K121" t="s">
        <v>23</v>
      </c>
      <c r="L121" t="s">
        <v>24</v>
      </c>
    </row>
    <row r="122" spans="1:12" x14ac:dyDescent="0.3">
      <c r="A122" t="s">
        <v>349</v>
      </c>
      <c r="B122" t="s">
        <v>1214</v>
      </c>
      <c r="C122" t="s">
        <v>14</v>
      </c>
      <c r="D122">
        <v>46</v>
      </c>
      <c r="E122" t="s">
        <v>1604</v>
      </c>
      <c r="F122" t="s">
        <v>22</v>
      </c>
      <c r="G122">
        <v>224551</v>
      </c>
      <c r="H122">
        <v>121925</v>
      </c>
      <c r="I122">
        <v>116065</v>
      </c>
      <c r="J122" t="s">
        <v>1600</v>
      </c>
      <c r="K122" t="s">
        <v>33</v>
      </c>
      <c r="L122" t="s">
        <v>17</v>
      </c>
    </row>
    <row r="123" spans="1:12" x14ac:dyDescent="0.3">
      <c r="A123" t="s">
        <v>351</v>
      </c>
      <c r="B123" t="s">
        <v>1215</v>
      </c>
      <c r="C123" t="s">
        <v>21</v>
      </c>
      <c r="D123">
        <v>46</v>
      </c>
      <c r="E123" t="s">
        <v>1604</v>
      </c>
      <c r="F123" t="s">
        <v>22</v>
      </c>
      <c r="G123">
        <v>377318</v>
      </c>
      <c r="H123">
        <v>163328</v>
      </c>
      <c r="I123">
        <v>42694</v>
      </c>
      <c r="J123" t="s">
        <v>1601</v>
      </c>
      <c r="K123" t="s">
        <v>23</v>
      </c>
      <c r="L123" t="s">
        <v>24</v>
      </c>
    </row>
    <row r="124" spans="1:12" x14ac:dyDescent="0.3">
      <c r="A124" t="s">
        <v>353</v>
      </c>
      <c r="B124" t="s">
        <v>1216</v>
      </c>
      <c r="C124" t="s">
        <v>14</v>
      </c>
      <c r="D124">
        <v>43</v>
      </c>
      <c r="E124" t="s">
        <v>1604</v>
      </c>
      <c r="F124" t="s">
        <v>59</v>
      </c>
      <c r="G124">
        <v>54798</v>
      </c>
      <c r="H124">
        <v>249335</v>
      </c>
      <c r="I124">
        <v>135806</v>
      </c>
      <c r="J124" t="s">
        <v>1600</v>
      </c>
      <c r="K124" t="s">
        <v>23</v>
      </c>
      <c r="L124" t="s">
        <v>17</v>
      </c>
    </row>
    <row r="125" spans="1:12" x14ac:dyDescent="0.3">
      <c r="A125" t="s">
        <v>355</v>
      </c>
      <c r="B125" t="s">
        <v>1217</v>
      </c>
      <c r="C125" t="s">
        <v>44</v>
      </c>
      <c r="D125">
        <v>40</v>
      </c>
      <c r="E125" t="s">
        <v>1604</v>
      </c>
      <c r="F125" t="s">
        <v>59</v>
      </c>
      <c r="G125">
        <v>345857</v>
      </c>
      <c r="H125">
        <v>211857</v>
      </c>
      <c r="I125">
        <v>111513</v>
      </c>
      <c r="J125" t="s">
        <v>1600</v>
      </c>
      <c r="K125" t="s">
        <v>23</v>
      </c>
      <c r="L125" t="s">
        <v>17</v>
      </c>
    </row>
    <row r="126" spans="1:12" x14ac:dyDescent="0.3">
      <c r="A126" t="s">
        <v>358</v>
      </c>
      <c r="B126" t="s">
        <v>1218</v>
      </c>
      <c r="C126" t="s">
        <v>14</v>
      </c>
      <c r="D126">
        <v>44</v>
      </c>
      <c r="E126" t="s">
        <v>1604</v>
      </c>
      <c r="F126" t="s">
        <v>22</v>
      </c>
      <c r="G126">
        <v>276981</v>
      </c>
      <c r="H126">
        <v>182803</v>
      </c>
      <c r="I126">
        <v>37765</v>
      </c>
      <c r="J126" t="s">
        <v>1601</v>
      </c>
      <c r="K126" t="s">
        <v>16</v>
      </c>
      <c r="L126" t="s">
        <v>24</v>
      </c>
    </row>
    <row r="127" spans="1:12" x14ac:dyDescent="0.3">
      <c r="A127" t="s">
        <v>360</v>
      </c>
      <c r="B127" t="s">
        <v>1219</v>
      </c>
      <c r="C127" t="s">
        <v>44</v>
      </c>
      <c r="D127">
        <v>45</v>
      </c>
      <c r="E127" t="s">
        <v>1604</v>
      </c>
      <c r="F127" t="s">
        <v>22</v>
      </c>
      <c r="G127">
        <v>408824</v>
      </c>
      <c r="H127">
        <v>142277</v>
      </c>
      <c r="I127">
        <v>22112</v>
      </c>
      <c r="J127" t="s">
        <v>1601</v>
      </c>
      <c r="K127" t="s">
        <v>23</v>
      </c>
      <c r="L127" t="s">
        <v>17</v>
      </c>
    </row>
    <row r="128" spans="1:12" x14ac:dyDescent="0.3">
      <c r="A128" t="s">
        <v>362</v>
      </c>
      <c r="B128" t="s">
        <v>1220</v>
      </c>
      <c r="C128" t="s">
        <v>48</v>
      </c>
      <c r="D128">
        <v>47</v>
      </c>
      <c r="E128" t="s">
        <v>1604</v>
      </c>
      <c r="F128" t="s">
        <v>22</v>
      </c>
      <c r="G128">
        <v>210402</v>
      </c>
      <c r="H128">
        <v>94577</v>
      </c>
      <c r="I128">
        <v>60506</v>
      </c>
      <c r="J128" t="s">
        <v>1599</v>
      </c>
      <c r="K128" t="s">
        <v>23</v>
      </c>
      <c r="L128" t="s">
        <v>24</v>
      </c>
    </row>
    <row r="129" spans="1:12" x14ac:dyDescent="0.3">
      <c r="A129" t="s">
        <v>364</v>
      </c>
      <c r="B129" t="s">
        <v>1221</v>
      </c>
      <c r="C129" t="s">
        <v>44</v>
      </c>
      <c r="D129">
        <v>41</v>
      </c>
      <c r="E129" t="s">
        <v>1604</v>
      </c>
      <c r="F129" t="s">
        <v>59</v>
      </c>
      <c r="G129">
        <v>119547</v>
      </c>
      <c r="H129">
        <v>96291</v>
      </c>
      <c r="I129">
        <v>101237</v>
      </c>
      <c r="J129" t="s">
        <v>1600</v>
      </c>
      <c r="K129" t="s">
        <v>16</v>
      </c>
      <c r="L129" t="s">
        <v>17</v>
      </c>
    </row>
    <row r="130" spans="1:12" x14ac:dyDescent="0.3">
      <c r="A130" t="s">
        <v>366</v>
      </c>
      <c r="B130" t="s">
        <v>1222</v>
      </c>
      <c r="C130" t="s">
        <v>14</v>
      </c>
      <c r="D130">
        <v>26</v>
      </c>
      <c r="E130" t="s">
        <v>13</v>
      </c>
      <c r="F130" t="s">
        <v>22</v>
      </c>
      <c r="G130">
        <v>328510</v>
      </c>
      <c r="H130">
        <v>112717</v>
      </c>
      <c r="I130">
        <v>147135</v>
      </c>
      <c r="J130" t="s">
        <v>1600</v>
      </c>
      <c r="K130" t="s">
        <v>33</v>
      </c>
      <c r="L130" t="s">
        <v>24</v>
      </c>
    </row>
    <row r="131" spans="1:12" x14ac:dyDescent="0.3">
      <c r="A131" t="s">
        <v>368</v>
      </c>
      <c r="B131" t="s">
        <v>1223</v>
      </c>
      <c r="C131" t="s">
        <v>14</v>
      </c>
      <c r="D131">
        <v>28</v>
      </c>
      <c r="E131" t="s">
        <v>13</v>
      </c>
      <c r="F131" t="s">
        <v>22</v>
      </c>
      <c r="G131">
        <v>478900</v>
      </c>
      <c r="H131">
        <v>35361</v>
      </c>
      <c r="I131">
        <v>83845</v>
      </c>
      <c r="J131" t="s">
        <v>1599</v>
      </c>
      <c r="K131" t="s">
        <v>33</v>
      </c>
      <c r="L131" t="s">
        <v>17</v>
      </c>
    </row>
    <row r="132" spans="1:12" x14ac:dyDescent="0.3">
      <c r="A132" t="s">
        <v>371</v>
      </c>
      <c r="B132" t="s">
        <v>1224</v>
      </c>
      <c r="C132" t="s">
        <v>44</v>
      </c>
      <c r="D132">
        <v>47</v>
      </c>
      <c r="E132" t="s">
        <v>1604</v>
      </c>
      <c r="F132" t="s">
        <v>59</v>
      </c>
      <c r="G132">
        <v>406562</v>
      </c>
      <c r="H132">
        <v>59465</v>
      </c>
      <c r="I132">
        <v>64511</v>
      </c>
      <c r="J132" t="s">
        <v>1599</v>
      </c>
      <c r="K132" t="s">
        <v>33</v>
      </c>
      <c r="L132" t="s">
        <v>17</v>
      </c>
    </row>
    <row r="133" spans="1:12" x14ac:dyDescent="0.3">
      <c r="A133" t="s">
        <v>374</v>
      </c>
      <c r="B133" t="s">
        <v>1225</v>
      </c>
      <c r="C133" t="s">
        <v>21</v>
      </c>
      <c r="D133">
        <v>47</v>
      </c>
      <c r="E133" t="s">
        <v>1604</v>
      </c>
      <c r="F133" t="s">
        <v>22</v>
      </c>
      <c r="G133">
        <v>301525</v>
      </c>
      <c r="H133">
        <v>127024</v>
      </c>
      <c r="I133">
        <v>142319</v>
      </c>
      <c r="J133" t="s">
        <v>1600</v>
      </c>
      <c r="K133" t="s">
        <v>23</v>
      </c>
      <c r="L133" t="s">
        <v>17</v>
      </c>
    </row>
    <row r="134" spans="1:12" x14ac:dyDescent="0.3">
      <c r="A134" t="s">
        <v>377</v>
      </c>
      <c r="B134" t="s">
        <v>1226</v>
      </c>
      <c r="C134" t="s">
        <v>44</v>
      </c>
      <c r="D134">
        <v>46</v>
      </c>
      <c r="E134" t="s">
        <v>1604</v>
      </c>
      <c r="F134" t="s">
        <v>59</v>
      </c>
      <c r="G134">
        <v>455252</v>
      </c>
      <c r="H134">
        <v>183492</v>
      </c>
      <c r="I134">
        <v>138614</v>
      </c>
      <c r="J134" t="s">
        <v>1600</v>
      </c>
      <c r="K134" t="s">
        <v>33</v>
      </c>
      <c r="L134" t="s">
        <v>17</v>
      </c>
    </row>
    <row r="135" spans="1:12" x14ac:dyDescent="0.3">
      <c r="A135" t="s">
        <v>379</v>
      </c>
      <c r="B135" t="s">
        <v>1227</v>
      </c>
      <c r="C135" t="s">
        <v>58</v>
      </c>
      <c r="D135">
        <v>49</v>
      </c>
      <c r="E135" t="s">
        <v>1604</v>
      </c>
      <c r="F135" t="s">
        <v>1590</v>
      </c>
      <c r="G135">
        <v>26460</v>
      </c>
      <c r="H135">
        <v>74486</v>
      </c>
      <c r="I135">
        <v>132541</v>
      </c>
      <c r="J135" t="s">
        <v>1600</v>
      </c>
      <c r="K135" t="s">
        <v>23</v>
      </c>
      <c r="L135" t="s">
        <v>24</v>
      </c>
    </row>
    <row r="136" spans="1:12" x14ac:dyDescent="0.3">
      <c r="A136" t="s">
        <v>382</v>
      </c>
      <c r="B136" t="s">
        <v>1228</v>
      </c>
      <c r="C136" t="s">
        <v>58</v>
      </c>
      <c r="D136">
        <v>35</v>
      </c>
      <c r="E136" t="s">
        <v>1604</v>
      </c>
      <c r="F136" t="s">
        <v>59</v>
      </c>
      <c r="G136">
        <v>12234</v>
      </c>
      <c r="H136">
        <v>72171</v>
      </c>
      <c r="I136">
        <v>98331</v>
      </c>
      <c r="J136" t="s">
        <v>1599</v>
      </c>
      <c r="K136" t="s">
        <v>23</v>
      </c>
      <c r="L136" t="s">
        <v>24</v>
      </c>
    </row>
    <row r="137" spans="1:12" x14ac:dyDescent="0.3">
      <c r="A137" t="s">
        <v>384</v>
      </c>
      <c r="B137" t="s">
        <v>1229</v>
      </c>
      <c r="C137" t="s">
        <v>14</v>
      </c>
      <c r="D137">
        <v>54</v>
      </c>
      <c r="E137" t="s">
        <v>1603</v>
      </c>
      <c r="F137" t="s">
        <v>59</v>
      </c>
      <c r="G137">
        <v>211597</v>
      </c>
      <c r="H137">
        <v>8683</v>
      </c>
      <c r="I137">
        <v>110922</v>
      </c>
      <c r="J137" t="s">
        <v>1600</v>
      </c>
      <c r="K137" t="s">
        <v>23</v>
      </c>
      <c r="L137" t="s">
        <v>24</v>
      </c>
    </row>
    <row r="138" spans="1:12" x14ac:dyDescent="0.3">
      <c r="A138" t="s">
        <v>385</v>
      </c>
      <c r="B138" t="s">
        <v>1230</v>
      </c>
      <c r="C138" t="s">
        <v>21</v>
      </c>
      <c r="D138">
        <v>34</v>
      </c>
      <c r="E138" t="s">
        <v>1604</v>
      </c>
      <c r="F138" t="s">
        <v>59</v>
      </c>
      <c r="G138">
        <v>84415</v>
      </c>
      <c r="H138">
        <v>157265.28570000001</v>
      </c>
      <c r="I138">
        <v>22476</v>
      </c>
      <c r="J138" t="s">
        <v>1601</v>
      </c>
      <c r="K138" t="s">
        <v>33</v>
      </c>
      <c r="L138" t="s">
        <v>24</v>
      </c>
    </row>
    <row r="139" spans="1:12" x14ac:dyDescent="0.3">
      <c r="A139" t="s">
        <v>387</v>
      </c>
      <c r="B139" t="s">
        <v>1231</v>
      </c>
      <c r="C139" t="s">
        <v>58</v>
      </c>
      <c r="D139">
        <v>21</v>
      </c>
      <c r="E139" t="s">
        <v>13</v>
      </c>
      <c r="F139" t="s">
        <v>22</v>
      </c>
      <c r="G139">
        <v>21816</v>
      </c>
      <c r="H139">
        <v>113155</v>
      </c>
      <c r="I139">
        <v>54938</v>
      </c>
      <c r="J139" t="s">
        <v>1599</v>
      </c>
      <c r="K139" t="s">
        <v>16</v>
      </c>
      <c r="L139" t="s">
        <v>24</v>
      </c>
    </row>
    <row r="140" spans="1:12" x14ac:dyDescent="0.3">
      <c r="A140" t="s">
        <v>389</v>
      </c>
      <c r="B140" t="s">
        <v>1232</v>
      </c>
      <c r="C140" t="s">
        <v>44</v>
      </c>
      <c r="D140">
        <v>31</v>
      </c>
      <c r="E140" t="s">
        <v>1604</v>
      </c>
      <c r="F140" t="s">
        <v>59</v>
      </c>
      <c r="G140">
        <v>318474</v>
      </c>
      <c r="H140">
        <v>242458</v>
      </c>
      <c r="I140">
        <v>87577</v>
      </c>
      <c r="J140" t="s">
        <v>1599</v>
      </c>
      <c r="K140" t="s">
        <v>23</v>
      </c>
      <c r="L140" t="s">
        <v>17</v>
      </c>
    </row>
    <row r="141" spans="1:12" x14ac:dyDescent="0.3">
      <c r="A141" t="s">
        <v>391</v>
      </c>
      <c r="B141" t="s">
        <v>1233</v>
      </c>
      <c r="C141" t="s">
        <v>44</v>
      </c>
      <c r="D141">
        <v>38</v>
      </c>
      <c r="E141" t="s">
        <v>1604</v>
      </c>
      <c r="F141" t="s">
        <v>1590</v>
      </c>
      <c r="G141">
        <v>479125</v>
      </c>
      <c r="H141">
        <v>84817</v>
      </c>
      <c r="I141">
        <v>138177</v>
      </c>
      <c r="J141" t="s">
        <v>1600</v>
      </c>
      <c r="K141" t="s">
        <v>23</v>
      </c>
      <c r="L141" t="s">
        <v>17</v>
      </c>
    </row>
    <row r="142" spans="1:12" x14ac:dyDescent="0.3">
      <c r="A142" t="s">
        <v>394</v>
      </c>
      <c r="B142" t="s">
        <v>1234</v>
      </c>
      <c r="C142" t="s">
        <v>58</v>
      </c>
      <c r="D142">
        <v>48</v>
      </c>
      <c r="E142" t="s">
        <v>1604</v>
      </c>
      <c r="F142" t="s">
        <v>1590</v>
      </c>
      <c r="G142">
        <v>153691</v>
      </c>
      <c r="H142">
        <v>104898</v>
      </c>
      <c r="I142">
        <v>102853</v>
      </c>
      <c r="J142" t="s">
        <v>1600</v>
      </c>
      <c r="K142" t="s">
        <v>23</v>
      </c>
      <c r="L142" t="s">
        <v>17</v>
      </c>
    </row>
    <row r="143" spans="1:12" x14ac:dyDescent="0.3">
      <c r="A143" t="s">
        <v>397</v>
      </c>
      <c r="B143" t="s">
        <v>1235</v>
      </c>
      <c r="C143" t="s">
        <v>44</v>
      </c>
      <c r="D143">
        <v>58</v>
      </c>
      <c r="E143" t="s">
        <v>1603</v>
      </c>
      <c r="F143" t="s">
        <v>1590</v>
      </c>
      <c r="G143">
        <v>252076.5122</v>
      </c>
      <c r="H143">
        <v>192321</v>
      </c>
      <c r="I143">
        <v>97508</v>
      </c>
      <c r="J143" t="s">
        <v>1599</v>
      </c>
      <c r="K143" t="s">
        <v>23</v>
      </c>
      <c r="L143" t="s">
        <v>24</v>
      </c>
    </row>
    <row r="144" spans="1:12" x14ac:dyDescent="0.3">
      <c r="A144" t="s">
        <v>400</v>
      </c>
      <c r="B144" t="s">
        <v>1236</v>
      </c>
      <c r="C144" t="s">
        <v>58</v>
      </c>
      <c r="D144">
        <v>57</v>
      </c>
      <c r="E144" t="s">
        <v>1603</v>
      </c>
      <c r="F144" t="s">
        <v>22</v>
      </c>
      <c r="G144">
        <v>404248</v>
      </c>
      <c r="H144">
        <v>231223</v>
      </c>
      <c r="I144">
        <v>140470</v>
      </c>
      <c r="J144" t="s">
        <v>1600</v>
      </c>
      <c r="K144" t="s">
        <v>23</v>
      </c>
      <c r="L144" t="s">
        <v>17</v>
      </c>
    </row>
    <row r="145" spans="1:12" x14ac:dyDescent="0.3">
      <c r="A145" t="s">
        <v>403</v>
      </c>
      <c r="B145" t="s">
        <v>1237</v>
      </c>
      <c r="C145" t="s">
        <v>21</v>
      </c>
      <c r="D145">
        <v>44</v>
      </c>
      <c r="E145" t="s">
        <v>1604</v>
      </c>
      <c r="F145" t="s">
        <v>22</v>
      </c>
      <c r="G145">
        <v>423641</v>
      </c>
      <c r="H145">
        <v>184884</v>
      </c>
      <c r="I145">
        <v>139128</v>
      </c>
      <c r="J145" t="s">
        <v>1600</v>
      </c>
      <c r="K145" t="s">
        <v>23</v>
      </c>
      <c r="L145" t="s">
        <v>24</v>
      </c>
    </row>
    <row r="146" spans="1:12" x14ac:dyDescent="0.3">
      <c r="A146" t="s">
        <v>406</v>
      </c>
      <c r="B146" t="s">
        <v>1238</v>
      </c>
      <c r="C146" t="s">
        <v>48</v>
      </c>
      <c r="D146">
        <v>40</v>
      </c>
      <c r="E146" t="s">
        <v>1604</v>
      </c>
      <c r="F146" t="s">
        <v>22</v>
      </c>
      <c r="G146">
        <v>136662</v>
      </c>
      <c r="H146">
        <v>133410</v>
      </c>
      <c r="I146">
        <v>129107</v>
      </c>
      <c r="J146" t="s">
        <v>1600</v>
      </c>
      <c r="K146" t="s">
        <v>23</v>
      </c>
      <c r="L146" t="s">
        <v>24</v>
      </c>
    </row>
    <row r="147" spans="1:12" x14ac:dyDescent="0.3">
      <c r="A147" t="s">
        <v>407</v>
      </c>
      <c r="B147" t="s">
        <v>1239</v>
      </c>
      <c r="C147" t="s">
        <v>58</v>
      </c>
      <c r="D147">
        <v>29</v>
      </c>
      <c r="E147" t="s">
        <v>13</v>
      </c>
      <c r="F147" t="s">
        <v>22</v>
      </c>
      <c r="G147">
        <v>190978</v>
      </c>
      <c r="H147">
        <v>232713</v>
      </c>
      <c r="I147">
        <v>133554</v>
      </c>
      <c r="J147" t="s">
        <v>1600</v>
      </c>
      <c r="K147" t="s">
        <v>23</v>
      </c>
      <c r="L147" t="s">
        <v>24</v>
      </c>
    </row>
    <row r="148" spans="1:12" x14ac:dyDescent="0.3">
      <c r="A148" t="s">
        <v>409</v>
      </c>
      <c r="B148" t="s">
        <v>1240</v>
      </c>
      <c r="C148" t="s">
        <v>44</v>
      </c>
      <c r="D148">
        <v>56</v>
      </c>
      <c r="E148" t="s">
        <v>1603</v>
      </c>
      <c r="F148" t="s">
        <v>22</v>
      </c>
      <c r="G148">
        <v>3195</v>
      </c>
      <c r="H148">
        <v>296213</v>
      </c>
      <c r="I148">
        <v>58646</v>
      </c>
      <c r="J148" t="s">
        <v>1599</v>
      </c>
      <c r="K148" t="s">
        <v>16</v>
      </c>
      <c r="L148" t="s">
        <v>24</v>
      </c>
    </row>
    <row r="149" spans="1:12" x14ac:dyDescent="0.3">
      <c r="A149" t="s">
        <v>411</v>
      </c>
      <c r="B149" t="s">
        <v>1241</v>
      </c>
      <c r="C149" t="s">
        <v>21</v>
      </c>
      <c r="D149">
        <v>26</v>
      </c>
      <c r="E149" t="s">
        <v>13</v>
      </c>
      <c r="F149" t="s">
        <v>22</v>
      </c>
      <c r="G149">
        <v>320584</v>
      </c>
      <c r="H149">
        <v>211363</v>
      </c>
      <c r="I149">
        <v>73878</v>
      </c>
      <c r="J149" t="s">
        <v>1599</v>
      </c>
      <c r="K149" t="s">
        <v>16</v>
      </c>
      <c r="L149" t="s">
        <v>24</v>
      </c>
    </row>
    <row r="150" spans="1:12" x14ac:dyDescent="0.3">
      <c r="A150" t="s">
        <v>414</v>
      </c>
      <c r="B150" t="s">
        <v>1242</v>
      </c>
      <c r="C150" t="s">
        <v>44</v>
      </c>
      <c r="D150">
        <v>33</v>
      </c>
      <c r="E150" t="s">
        <v>1604</v>
      </c>
      <c r="F150" t="s">
        <v>22</v>
      </c>
      <c r="G150">
        <v>194588</v>
      </c>
      <c r="H150">
        <v>282284</v>
      </c>
      <c r="I150">
        <v>104731</v>
      </c>
      <c r="J150" t="s">
        <v>1600</v>
      </c>
      <c r="K150" t="s">
        <v>16</v>
      </c>
      <c r="L150" t="s">
        <v>24</v>
      </c>
    </row>
    <row r="151" spans="1:12" x14ac:dyDescent="0.3">
      <c r="A151" t="s">
        <v>416</v>
      </c>
      <c r="B151" t="s">
        <v>1243</v>
      </c>
      <c r="C151" t="s">
        <v>58</v>
      </c>
      <c r="D151">
        <v>44</v>
      </c>
      <c r="E151" t="s">
        <v>1604</v>
      </c>
      <c r="F151" t="s">
        <v>22</v>
      </c>
      <c r="G151">
        <v>85080</v>
      </c>
      <c r="H151">
        <v>89756</v>
      </c>
      <c r="I151">
        <v>40451</v>
      </c>
      <c r="J151" t="s">
        <v>1601</v>
      </c>
      <c r="K151" t="s">
        <v>23</v>
      </c>
      <c r="L151" t="s">
        <v>24</v>
      </c>
    </row>
    <row r="152" spans="1:12" x14ac:dyDescent="0.3">
      <c r="A152" t="s">
        <v>418</v>
      </c>
      <c r="B152" t="s">
        <v>1244</v>
      </c>
      <c r="C152" t="s">
        <v>14</v>
      </c>
      <c r="D152">
        <v>48</v>
      </c>
      <c r="E152" t="s">
        <v>1604</v>
      </c>
      <c r="F152" t="s">
        <v>59</v>
      </c>
      <c r="G152">
        <v>166669</v>
      </c>
      <c r="H152">
        <v>278302</v>
      </c>
      <c r="I152">
        <v>39409</v>
      </c>
      <c r="J152" t="s">
        <v>1601</v>
      </c>
      <c r="K152" t="s">
        <v>16</v>
      </c>
      <c r="L152" t="s">
        <v>17</v>
      </c>
    </row>
    <row r="153" spans="1:12" x14ac:dyDescent="0.3">
      <c r="A153" t="s">
        <v>421</v>
      </c>
      <c r="B153" t="s">
        <v>1245</v>
      </c>
      <c r="C153" t="s">
        <v>44</v>
      </c>
      <c r="D153">
        <v>39</v>
      </c>
      <c r="E153" t="s">
        <v>1604</v>
      </c>
      <c r="F153" t="s">
        <v>1590</v>
      </c>
      <c r="G153">
        <v>252076.5122</v>
      </c>
      <c r="H153">
        <v>45731</v>
      </c>
      <c r="I153">
        <v>146843</v>
      </c>
      <c r="J153" t="s">
        <v>1600</v>
      </c>
      <c r="K153" t="s">
        <v>33</v>
      </c>
      <c r="L153" t="s">
        <v>17</v>
      </c>
    </row>
    <row r="154" spans="1:12" x14ac:dyDescent="0.3">
      <c r="A154" t="s">
        <v>424</v>
      </c>
      <c r="B154" t="s">
        <v>1246</v>
      </c>
      <c r="C154" t="s">
        <v>21</v>
      </c>
      <c r="D154">
        <v>30</v>
      </c>
      <c r="E154" t="s">
        <v>13</v>
      </c>
      <c r="F154" t="s">
        <v>1590</v>
      </c>
      <c r="G154">
        <v>252076.5122</v>
      </c>
      <c r="H154">
        <v>3666</v>
      </c>
      <c r="I154">
        <v>75322</v>
      </c>
      <c r="J154" t="s">
        <v>1599</v>
      </c>
      <c r="K154" t="s">
        <v>16</v>
      </c>
      <c r="L154" t="s">
        <v>17</v>
      </c>
    </row>
    <row r="155" spans="1:12" x14ac:dyDescent="0.3">
      <c r="A155" t="s">
        <v>427</v>
      </c>
      <c r="B155" t="s">
        <v>1247</v>
      </c>
      <c r="C155" t="s">
        <v>58</v>
      </c>
      <c r="D155">
        <v>23</v>
      </c>
      <c r="E155" t="s">
        <v>13</v>
      </c>
      <c r="F155" t="s">
        <v>59</v>
      </c>
      <c r="G155">
        <v>465364</v>
      </c>
      <c r="H155">
        <v>128434.3333</v>
      </c>
      <c r="I155">
        <v>69069</v>
      </c>
      <c r="J155" t="s">
        <v>1599</v>
      </c>
      <c r="K155" t="s">
        <v>16</v>
      </c>
      <c r="L155" t="s">
        <v>17</v>
      </c>
    </row>
    <row r="156" spans="1:12" x14ac:dyDescent="0.3">
      <c r="A156" t="s">
        <v>429</v>
      </c>
      <c r="B156" t="s">
        <v>1248</v>
      </c>
      <c r="C156" t="s">
        <v>44</v>
      </c>
      <c r="D156">
        <v>59</v>
      </c>
      <c r="E156" t="s">
        <v>1603</v>
      </c>
      <c r="F156" t="s">
        <v>22</v>
      </c>
      <c r="G156">
        <v>466360</v>
      </c>
      <c r="H156">
        <v>287966</v>
      </c>
      <c r="I156">
        <v>78186</v>
      </c>
      <c r="J156" t="s">
        <v>1599</v>
      </c>
      <c r="K156" t="s">
        <v>16</v>
      </c>
      <c r="L156" t="s">
        <v>24</v>
      </c>
    </row>
    <row r="157" spans="1:12" x14ac:dyDescent="0.3">
      <c r="A157" t="s">
        <v>432</v>
      </c>
      <c r="B157" t="s">
        <v>1249</v>
      </c>
      <c r="C157" t="s">
        <v>14</v>
      </c>
      <c r="D157">
        <v>32</v>
      </c>
      <c r="E157" t="s">
        <v>1604</v>
      </c>
      <c r="F157" t="s">
        <v>59</v>
      </c>
      <c r="G157">
        <v>158712</v>
      </c>
      <c r="H157">
        <v>293271</v>
      </c>
      <c r="I157">
        <v>64545</v>
      </c>
      <c r="J157" t="s">
        <v>1599</v>
      </c>
      <c r="K157" t="s">
        <v>23</v>
      </c>
      <c r="L157" t="s">
        <v>24</v>
      </c>
    </row>
    <row r="158" spans="1:12" x14ac:dyDescent="0.3">
      <c r="A158" t="s">
        <v>434</v>
      </c>
      <c r="B158" t="s">
        <v>1250</v>
      </c>
      <c r="C158" t="s">
        <v>14</v>
      </c>
      <c r="D158">
        <v>23</v>
      </c>
      <c r="E158" t="s">
        <v>13</v>
      </c>
      <c r="F158" t="s">
        <v>22</v>
      </c>
      <c r="G158">
        <v>479288</v>
      </c>
      <c r="H158">
        <v>196333</v>
      </c>
      <c r="I158">
        <v>54686</v>
      </c>
      <c r="J158" t="s">
        <v>1599</v>
      </c>
      <c r="K158" t="s">
        <v>33</v>
      </c>
      <c r="L158" t="s">
        <v>17</v>
      </c>
    </row>
    <row r="159" spans="1:12" x14ac:dyDescent="0.3">
      <c r="A159" t="s">
        <v>437</v>
      </c>
      <c r="B159" t="s">
        <v>1251</v>
      </c>
      <c r="C159" t="s">
        <v>48</v>
      </c>
      <c r="D159">
        <v>26</v>
      </c>
      <c r="E159" t="s">
        <v>13</v>
      </c>
      <c r="F159" t="s">
        <v>1590</v>
      </c>
      <c r="G159">
        <v>410416</v>
      </c>
      <c r="H159">
        <v>278605</v>
      </c>
      <c r="I159">
        <v>117063</v>
      </c>
      <c r="J159" t="s">
        <v>1600</v>
      </c>
      <c r="K159" t="s">
        <v>33</v>
      </c>
      <c r="L159" t="s">
        <v>24</v>
      </c>
    </row>
    <row r="160" spans="1:12" x14ac:dyDescent="0.3">
      <c r="A160" t="s">
        <v>440</v>
      </c>
      <c r="B160" t="s">
        <v>1252</v>
      </c>
      <c r="C160" t="s">
        <v>21</v>
      </c>
      <c r="D160">
        <v>25</v>
      </c>
      <c r="E160" t="s">
        <v>13</v>
      </c>
      <c r="F160" t="s">
        <v>59</v>
      </c>
      <c r="G160">
        <v>155788</v>
      </c>
      <c r="H160">
        <v>249922</v>
      </c>
      <c r="I160">
        <v>130004</v>
      </c>
      <c r="J160" t="s">
        <v>1600</v>
      </c>
      <c r="K160" t="s">
        <v>23</v>
      </c>
      <c r="L160" t="s">
        <v>17</v>
      </c>
    </row>
    <row r="161" spans="1:12" x14ac:dyDescent="0.3">
      <c r="A161" t="s">
        <v>442</v>
      </c>
      <c r="B161" t="s">
        <v>1253</v>
      </c>
      <c r="C161" t="s">
        <v>44</v>
      </c>
      <c r="D161">
        <v>35</v>
      </c>
      <c r="E161" t="s">
        <v>1604</v>
      </c>
      <c r="F161" t="s">
        <v>59</v>
      </c>
      <c r="G161">
        <v>370236</v>
      </c>
      <c r="H161">
        <v>252371</v>
      </c>
      <c r="I161">
        <v>42405</v>
      </c>
      <c r="J161" t="s">
        <v>1601</v>
      </c>
      <c r="K161" t="s">
        <v>33</v>
      </c>
      <c r="L161" t="s">
        <v>17</v>
      </c>
    </row>
    <row r="162" spans="1:12" x14ac:dyDescent="0.3">
      <c r="A162" t="s">
        <v>443</v>
      </c>
      <c r="B162" t="s">
        <v>1254</v>
      </c>
      <c r="C162" t="s">
        <v>58</v>
      </c>
      <c r="D162">
        <v>59</v>
      </c>
      <c r="E162" t="s">
        <v>1603</v>
      </c>
      <c r="F162" t="s">
        <v>22</v>
      </c>
      <c r="G162">
        <v>252076.5122</v>
      </c>
      <c r="H162">
        <v>198348</v>
      </c>
      <c r="I162">
        <v>63502</v>
      </c>
      <c r="J162" t="s">
        <v>1599</v>
      </c>
      <c r="K162" t="s">
        <v>23</v>
      </c>
      <c r="L162" t="s">
        <v>24</v>
      </c>
    </row>
    <row r="163" spans="1:12" x14ac:dyDescent="0.3">
      <c r="A163" t="s">
        <v>445</v>
      </c>
      <c r="B163" t="s">
        <v>1255</v>
      </c>
      <c r="C163" t="s">
        <v>58</v>
      </c>
      <c r="D163">
        <v>47</v>
      </c>
      <c r="E163" t="s">
        <v>1604</v>
      </c>
      <c r="F163" t="s">
        <v>22</v>
      </c>
      <c r="G163">
        <v>196807</v>
      </c>
      <c r="H163">
        <v>100862</v>
      </c>
      <c r="I163">
        <v>96119</v>
      </c>
      <c r="J163" t="s">
        <v>1599</v>
      </c>
      <c r="K163" t="s">
        <v>23</v>
      </c>
      <c r="L163" t="s">
        <v>17</v>
      </c>
    </row>
    <row r="164" spans="1:12" x14ac:dyDescent="0.3">
      <c r="A164" t="s">
        <v>448</v>
      </c>
      <c r="B164" t="s">
        <v>1256</v>
      </c>
      <c r="C164" t="s">
        <v>21</v>
      </c>
      <c r="D164">
        <v>27</v>
      </c>
      <c r="E164" t="s">
        <v>13</v>
      </c>
      <c r="F164" t="s">
        <v>22</v>
      </c>
      <c r="G164">
        <v>249502</v>
      </c>
      <c r="H164">
        <v>239466</v>
      </c>
      <c r="I164">
        <v>50803</v>
      </c>
      <c r="J164" t="s">
        <v>1599</v>
      </c>
      <c r="K164" t="s">
        <v>33</v>
      </c>
      <c r="L164" t="s">
        <v>17</v>
      </c>
    </row>
    <row r="165" spans="1:12" x14ac:dyDescent="0.3">
      <c r="A165" t="s">
        <v>451</v>
      </c>
      <c r="B165" t="s">
        <v>1257</v>
      </c>
      <c r="C165" t="s">
        <v>14</v>
      </c>
      <c r="D165">
        <v>49</v>
      </c>
      <c r="E165" t="s">
        <v>1604</v>
      </c>
      <c r="F165" t="s">
        <v>22</v>
      </c>
      <c r="G165">
        <v>1348</v>
      </c>
      <c r="H165">
        <v>278297</v>
      </c>
      <c r="I165">
        <v>57909</v>
      </c>
      <c r="J165" t="s">
        <v>1599</v>
      </c>
      <c r="K165" t="s">
        <v>16</v>
      </c>
      <c r="L165" t="s">
        <v>24</v>
      </c>
    </row>
    <row r="166" spans="1:12" x14ac:dyDescent="0.3">
      <c r="A166" t="s">
        <v>454</v>
      </c>
      <c r="B166" t="s">
        <v>1258</v>
      </c>
      <c r="C166" t="s">
        <v>14</v>
      </c>
      <c r="D166">
        <v>35</v>
      </c>
      <c r="E166" t="s">
        <v>1604</v>
      </c>
      <c r="F166" t="s">
        <v>22</v>
      </c>
      <c r="G166">
        <v>252076.5122</v>
      </c>
      <c r="H166">
        <v>276585</v>
      </c>
      <c r="I166">
        <v>129538</v>
      </c>
      <c r="J166" t="s">
        <v>1600</v>
      </c>
      <c r="K166" t="s">
        <v>33</v>
      </c>
      <c r="L166" t="s">
        <v>24</v>
      </c>
    </row>
    <row r="167" spans="1:12" x14ac:dyDescent="0.3">
      <c r="A167" t="s">
        <v>456</v>
      </c>
      <c r="B167" t="s">
        <v>1259</v>
      </c>
      <c r="C167" t="s">
        <v>14</v>
      </c>
      <c r="D167">
        <v>48</v>
      </c>
      <c r="E167" t="s">
        <v>1604</v>
      </c>
      <c r="F167" t="s">
        <v>59</v>
      </c>
      <c r="G167">
        <v>385522</v>
      </c>
      <c r="H167">
        <v>201718</v>
      </c>
      <c r="I167">
        <v>65198</v>
      </c>
      <c r="J167" t="s">
        <v>1599</v>
      </c>
      <c r="K167" t="s">
        <v>23</v>
      </c>
      <c r="L167" t="s">
        <v>17</v>
      </c>
    </row>
    <row r="168" spans="1:12" x14ac:dyDescent="0.3">
      <c r="A168" t="s">
        <v>459</v>
      </c>
      <c r="B168" t="s">
        <v>1260</v>
      </c>
      <c r="C168" t="s">
        <v>44</v>
      </c>
      <c r="D168">
        <v>46</v>
      </c>
      <c r="E168" t="s">
        <v>1604</v>
      </c>
      <c r="F168" t="s">
        <v>1590</v>
      </c>
      <c r="G168">
        <v>47320</v>
      </c>
      <c r="H168">
        <v>9</v>
      </c>
      <c r="I168">
        <v>74530</v>
      </c>
      <c r="J168" t="s">
        <v>1599</v>
      </c>
      <c r="K168" t="s">
        <v>16</v>
      </c>
      <c r="L168" t="s">
        <v>17</v>
      </c>
    </row>
    <row r="169" spans="1:12" x14ac:dyDescent="0.3">
      <c r="A169" t="s">
        <v>462</v>
      </c>
      <c r="B169" t="s">
        <v>1261</v>
      </c>
      <c r="C169" t="s">
        <v>14</v>
      </c>
      <c r="D169">
        <v>52</v>
      </c>
      <c r="E169" t="s">
        <v>1603</v>
      </c>
      <c r="F169" t="s">
        <v>22</v>
      </c>
      <c r="G169">
        <v>399377</v>
      </c>
      <c r="H169">
        <v>159636</v>
      </c>
      <c r="I169">
        <v>89547</v>
      </c>
      <c r="J169" t="s">
        <v>1599</v>
      </c>
      <c r="K169" t="s">
        <v>33</v>
      </c>
      <c r="L169" t="s">
        <v>24</v>
      </c>
    </row>
    <row r="170" spans="1:12" x14ac:dyDescent="0.3">
      <c r="A170" t="s">
        <v>464</v>
      </c>
      <c r="B170" t="s">
        <v>1262</v>
      </c>
      <c r="C170" t="s">
        <v>21</v>
      </c>
      <c r="D170">
        <v>54</v>
      </c>
      <c r="E170" t="s">
        <v>1603</v>
      </c>
      <c r="F170" t="s">
        <v>59</v>
      </c>
      <c r="G170">
        <v>73842</v>
      </c>
      <c r="H170">
        <v>99315</v>
      </c>
      <c r="I170">
        <v>20813</v>
      </c>
      <c r="J170" t="s">
        <v>1601</v>
      </c>
      <c r="K170" t="s">
        <v>23</v>
      </c>
      <c r="L170" t="s">
        <v>24</v>
      </c>
    </row>
    <row r="171" spans="1:12" x14ac:dyDescent="0.3">
      <c r="A171" t="s">
        <v>467</v>
      </c>
      <c r="B171" t="s">
        <v>1263</v>
      </c>
      <c r="C171" t="s">
        <v>48</v>
      </c>
      <c r="D171">
        <v>41</v>
      </c>
      <c r="E171" t="s">
        <v>1604</v>
      </c>
      <c r="F171" t="s">
        <v>22</v>
      </c>
      <c r="G171">
        <v>486104</v>
      </c>
      <c r="H171">
        <v>64489</v>
      </c>
      <c r="I171">
        <v>137970</v>
      </c>
      <c r="J171" t="s">
        <v>1600</v>
      </c>
      <c r="K171" t="s">
        <v>16</v>
      </c>
      <c r="L171" t="s">
        <v>17</v>
      </c>
    </row>
    <row r="172" spans="1:12" x14ac:dyDescent="0.3">
      <c r="A172" t="s">
        <v>468</v>
      </c>
      <c r="B172" t="s">
        <v>1264</v>
      </c>
      <c r="C172" t="s">
        <v>21</v>
      </c>
      <c r="D172">
        <v>39.868583162217661</v>
      </c>
      <c r="E172" t="s">
        <v>1604</v>
      </c>
      <c r="F172" t="s">
        <v>1590</v>
      </c>
      <c r="G172">
        <v>17815</v>
      </c>
      <c r="H172">
        <v>111897</v>
      </c>
      <c r="I172">
        <v>59085</v>
      </c>
      <c r="J172" t="s">
        <v>1599</v>
      </c>
      <c r="K172" t="s">
        <v>16</v>
      </c>
      <c r="L172" t="s">
        <v>17</v>
      </c>
    </row>
    <row r="173" spans="1:12" x14ac:dyDescent="0.3">
      <c r="A173" t="s">
        <v>470</v>
      </c>
      <c r="B173" t="s">
        <v>1265</v>
      </c>
      <c r="C173" t="s">
        <v>58</v>
      </c>
      <c r="D173">
        <v>40</v>
      </c>
      <c r="E173" t="s">
        <v>1604</v>
      </c>
      <c r="F173" t="s">
        <v>59</v>
      </c>
      <c r="G173">
        <v>266550</v>
      </c>
      <c r="H173">
        <v>290872</v>
      </c>
      <c r="I173">
        <v>42254</v>
      </c>
      <c r="J173" t="s">
        <v>1601</v>
      </c>
      <c r="K173" t="s">
        <v>16</v>
      </c>
      <c r="L173" t="s">
        <v>24</v>
      </c>
    </row>
    <row r="174" spans="1:12" x14ac:dyDescent="0.3">
      <c r="A174" t="s">
        <v>472</v>
      </c>
      <c r="B174" t="s">
        <v>1266</v>
      </c>
      <c r="C174" t="s">
        <v>14</v>
      </c>
      <c r="D174">
        <v>55</v>
      </c>
      <c r="E174" t="s">
        <v>1603</v>
      </c>
      <c r="F174" t="s">
        <v>59</v>
      </c>
      <c r="G174">
        <v>31173</v>
      </c>
      <c r="H174">
        <v>152109</v>
      </c>
      <c r="I174">
        <v>91439</v>
      </c>
      <c r="J174" t="s">
        <v>1599</v>
      </c>
      <c r="K174" t="s">
        <v>33</v>
      </c>
      <c r="L174" t="s">
        <v>24</v>
      </c>
    </row>
    <row r="175" spans="1:12" x14ac:dyDescent="0.3">
      <c r="A175" t="s">
        <v>475</v>
      </c>
      <c r="B175" t="s">
        <v>1267</v>
      </c>
      <c r="C175" t="s">
        <v>58</v>
      </c>
      <c r="D175">
        <v>36</v>
      </c>
      <c r="E175" t="s">
        <v>1604</v>
      </c>
      <c r="F175" t="s">
        <v>1590</v>
      </c>
      <c r="G175">
        <v>435832</v>
      </c>
      <c r="H175">
        <v>103275.625</v>
      </c>
      <c r="I175">
        <v>61510</v>
      </c>
      <c r="J175" t="s">
        <v>1599</v>
      </c>
      <c r="K175" t="s">
        <v>16</v>
      </c>
      <c r="L175" t="s">
        <v>17</v>
      </c>
    </row>
    <row r="176" spans="1:12" x14ac:dyDescent="0.3">
      <c r="A176" t="s">
        <v>476</v>
      </c>
      <c r="B176" t="s">
        <v>1268</v>
      </c>
      <c r="C176" t="s">
        <v>48</v>
      </c>
      <c r="D176">
        <v>50</v>
      </c>
      <c r="E176" t="s">
        <v>1604</v>
      </c>
      <c r="F176" t="s">
        <v>59</v>
      </c>
      <c r="G176">
        <v>227860</v>
      </c>
      <c r="H176">
        <v>71296</v>
      </c>
      <c r="I176">
        <v>40696</v>
      </c>
      <c r="J176" t="s">
        <v>1601</v>
      </c>
      <c r="K176" t="s">
        <v>23</v>
      </c>
      <c r="L176" t="s">
        <v>24</v>
      </c>
    </row>
    <row r="177" spans="1:12" x14ac:dyDescent="0.3">
      <c r="A177" t="s">
        <v>478</v>
      </c>
      <c r="B177" t="s">
        <v>1269</v>
      </c>
      <c r="C177" t="s">
        <v>14</v>
      </c>
      <c r="D177">
        <v>54</v>
      </c>
      <c r="E177" t="s">
        <v>1603</v>
      </c>
      <c r="F177" t="s">
        <v>22</v>
      </c>
      <c r="G177">
        <v>488221</v>
      </c>
      <c r="H177">
        <v>275631</v>
      </c>
      <c r="I177">
        <v>130107</v>
      </c>
      <c r="J177" t="s">
        <v>1600</v>
      </c>
      <c r="K177" t="s">
        <v>16</v>
      </c>
      <c r="L177" t="s">
        <v>24</v>
      </c>
    </row>
    <row r="178" spans="1:12" x14ac:dyDescent="0.3">
      <c r="A178" t="s">
        <v>480</v>
      </c>
      <c r="B178" t="s">
        <v>1270</v>
      </c>
      <c r="C178" t="s">
        <v>58</v>
      </c>
      <c r="D178">
        <v>35</v>
      </c>
      <c r="E178" t="s">
        <v>1604</v>
      </c>
      <c r="F178" t="s">
        <v>59</v>
      </c>
      <c r="G178">
        <v>200936</v>
      </c>
      <c r="H178">
        <v>56987</v>
      </c>
      <c r="I178">
        <v>55489</v>
      </c>
      <c r="J178" t="s">
        <v>1599</v>
      </c>
      <c r="K178" t="s">
        <v>33</v>
      </c>
      <c r="L178" t="s">
        <v>17</v>
      </c>
    </row>
    <row r="179" spans="1:12" x14ac:dyDescent="0.3">
      <c r="A179" t="s">
        <v>482</v>
      </c>
      <c r="B179" t="s">
        <v>1271</v>
      </c>
      <c r="C179" t="s">
        <v>14</v>
      </c>
      <c r="D179">
        <v>27</v>
      </c>
      <c r="E179" t="s">
        <v>13</v>
      </c>
      <c r="F179" t="s">
        <v>22</v>
      </c>
      <c r="G179">
        <v>380462</v>
      </c>
      <c r="H179">
        <v>95783</v>
      </c>
      <c r="I179">
        <v>37390</v>
      </c>
      <c r="J179" t="s">
        <v>1601</v>
      </c>
      <c r="K179" t="s">
        <v>23</v>
      </c>
      <c r="L179" t="s">
        <v>17</v>
      </c>
    </row>
    <row r="180" spans="1:12" x14ac:dyDescent="0.3">
      <c r="A180" t="s">
        <v>484</v>
      </c>
      <c r="B180" t="s">
        <v>1272</v>
      </c>
      <c r="C180" t="s">
        <v>44</v>
      </c>
      <c r="D180">
        <v>30</v>
      </c>
      <c r="E180" t="s">
        <v>13</v>
      </c>
      <c r="F180" t="s">
        <v>22</v>
      </c>
      <c r="G180">
        <v>46055</v>
      </c>
      <c r="H180">
        <v>185518.09090000001</v>
      </c>
      <c r="I180">
        <v>140682</v>
      </c>
      <c r="J180" t="s">
        <v>1600</v>
      </c>
      <c r="K180" t="s">
        <v>23</v>
      </c>
      <c r="L180" t="s">
        <v>17</v>
      </c>
    </row>
    <row r="181" spans="1:12" x14ac:dyDescent="0.3">
      <c r="A181" t="s">
        <v>487</v>
      </c>
      <c r="B181" t="s">
        <v>1273</v>
      </c>
      <c r="C181" t="s">
        <v>48</v>
      </c>
      <c r="D181">
        <v>29</v>
      </c>
      <c r="E181" t="s">
        <v>13</v>
      </c>
      <c r="F181" t="s">
        <v>22</v>
      </c>
      <c r="G181">
        <v>238355</v>
      </c>
      <c r="H181">
        <v>260567</v>
      </c>
      <c r="I181">
        <v>80549</v>
      </c>
      <c r="J181" t="s">
        <v>1599</v>
      </c>
      <c r="K181" t="s">
        <v>33</v>
      </c>
      <c r="L181" t="s">
        <v>17</v>
      </c>
    </row>
    <row r="182" spans="1:12" x14ac:dyDescent="0.3">
      <c r="A182" t="s">
        <v>490</v>
      </c>
      <c r="B182" t="s">
        <v>1274</v>
      </c>
      <c r="C182" t="s">
        <v>14</v>
      </c>
      <c r="D182">
        <v>26</v>
      </c>
      <c r="E182" t="s">
        <v>13</v>
      </c>
      <c r="F182" t="s">
        <v>22</v>
      </c>
      <c r="G182">
        <v>35223</v>
      </c>
      <c r="H182">
        <v>137145</v>
      </c>
      <c r="I182">
        <v>144461</v>
      </c>
      <c r="J182" t="s">
        <v>1600</v>
      </c>
      <c r="K182" t="s">
        <v>23</v>
      </c>
      <c r="L182" t="s">
        <v>24</v>
      </c>
    </row>
    <row r="183" spans="1:12" x14ac:dyDescent="0.3">
      <c r="A183" t="s">
        <v>492</v>
      </c>
      <c r="B183" t="s">
        <v>1275</v>
      </c>
      <c r="C183" t="s">
        <v>44</v>
      </c>
      <c r="D183">
        <v>54</v>
      </c>
      <c r="E183" t="s">
        <v>1603</v>
      </c>
      <c r="F183" t="s">
        <v>59</v>
      </c>
      <c r="G183">
        <v>3138</v>
      </c>
      <c r="H183">
        <v>197325</v>
      </c>
      <c r="I183">
        <v>65932</v>
      </c>
      <c r="J183" t="s">
        <v>1599</v>
      </c>
      <c r="K183" t="s">
        <v>16</v>
      </c>
      <c r="L183" t="s">
        <v>17</v>
      </c>
    </row>
    <row r="184" spans="1:12" x14ac:dyDescent="0.3">
      <c r="A184" t="s">
        <v>494</v>
      </c>
      <c r="B184" t="s">
        <v>1276</v>
      </c>
      <c r="C184" t="s">
        <v>48</v>
      </c>
      <c r="D184">
        <v>50</v>
      </c>
      <c r="E184" t="s">
        <v>1604</v>
      </c>
      <c r="F184" t="s">
        <v>59</v>
      </c>
      <c r="G184">
        <v>426487</v>
      </c>
      <c r="H184">
        <v>176469</v>
      </c>
      <c r="I184">
        <v>121016</v>
      </c>
      <c r="J184" t="s">
        <v>1600</v>
      </c>
      <c r="K184" t="s">
        <v>33</v>
      </c>
      <c r="L184" t="s">
        <v>24</v>
      </c>
    </row>
    <row r="185" spans="1:12" x14ac:dyDescent="0.3">
      <c r="A185" t="s">
        <v>496</v>
      </c>
      <c r="B185" t="s">
        <v>1176</v>
      </c>
      <c r="C185" t="s">
        <v>44</v>
      </c>
      <c r="D185">
        <v>21</v>
      </c>
      <c r="E185" t="s">
        <v>13</v>
      </c>
      <c r="F185" t="s">
        <v>59</v>
      </c>
      <c r="G185">
        <v>442824</v>
      </c>
      <c r="H185">
        <v>185490</v>
      </c>
      <c r="I185">
        <v>132787</v>
      </c>
      <c r="J185" t="s">
        <v>1600</v>
      </c>
      <c r="K185" t="s">
        <v>33</v>
      </c>
      <c r="L185" t="s">
        <v>24</v>
      </c>
    </row>
    <row r="186" spans="1:12" x14ac:dyDescent="0.3">
      <c r="A186" t="s">
        <v>497</v>
      </c>
      <c r="B186" t="s">
        <v>1277</v>
      </c>
      <c r="C186" t="s">
        <v>44</v>
      </c>
      <c r="D186">
        <v>39</v>
      </c>
      <c r="E186" t="s">
        <v>1604</v>
      </c>
      <c r="F186" t="s">
        <v>59</v>
      </c>
      <c r="G186">
        <v>376223</v>
      </c>
      <c r="H186">
        <v>128406</v>
      </c>
      <c r="I186">
        <v>124081</v>
      </c>
      <c r="J186" t="s">
        <v>1600</v>
      </c>
      <c r="K186" t="s">
        <v>33</v>
      </c>
      <c r="L186" t="s">
        <v>24</v>
      </c>
    </row>
    <row r="187" spans="1:12" x14ac:dyDescent="0.3">
      <c r="A187" t="s">
        <v>499</v>
      </c>
      <c r="B187" t="s">
        <v>1278</v>
      </c>
      <c r="C187" t="s">
        <v>44</v>
      </c>
      <c r="D187">
        <v>54</v>
      </c>
      <c r="E187" t="s">
        <v>1603</v>
      </c>
      <c r="F187" t="s">
        <v>22</v>
      </c>
      <c r="G187">
        <v>373850</v>
      </c>
      <c r="H187">
        <v>163039</v>
      </c>
      <c r="I187">
        <v>121571</v>
      </c>
      <c r="J187" t="s">
        <v>1600</v>
      </c>
      <c r="K187" t="s">
        <v>16</v>
      </c>
      <c r="L187" t="s">
        <v>17</v>
      </c>
    </row>
    <row r="188" spans="1:12" x14ac:dyDescent="0.3">
      <c r="A188" t="s">
        <v>501</v>
      </c>
      <c r="B188" t="s">
        <v>1279</v>
      </c>
      <c r="C188" t="s">
        <v>21</v>
      </c>
      <c r="D188">
        <v>30</v>
      </c>
      <c r="E188" t="s">
        <v>13</v>
      </c>
      <c r="F188" t="s">
        <v>59</v>
      </c>
      <c r="G188">
        <v>490901</v>
      </c>
      <c r="H188">
        <v>180701</v>
      </c>
      <c r="I188">
        <v>78111</v>
      </c>
      <c r="J188" t="s">
        <v>1599</v>
      </c>
      <c r="K188" t="s">
        <v>23</v>
      </c>
      <c r="L188" t="s">
        <v>24</v>
      </c>
    </row>
    <row r="189" spans="1:12" x14ac:dyDescent="0.3">
      <c r="A189" t="s">
        <v>502</v>
      </c>
      <c r="B189" t="s">
        <v>1280</v>
      </c>
      <c r="C189" t="s">
        <v>44</v>
      </c>
      <c r="D189">
        <v>25</v>
      </c>
      <c r="E189" t="s">
        <v>13</v>
      </c>
      <c r="F189" t="s">
        <v>22</v>
      </c>
      <c r="G189">
        <v>60576</v>
      </c>
      <c r="H189">
        <v>115473</v>
      </c>
      <c r="I189">
        <v>121304</v>
      </c>
      <c r="J189" t="s">
        <v>1600</v>
      </c>
      <c r="K189" t="s">
        <v>33</v>
      </c>
      <c r="L189" t="s">
        <v>24</v>
      </c>
    </row>
    <row r="190" spans="1:12" x14ac:dyDescent="0.3">
      <c r="A190" t="s">
        <v>503</v>
      </c>
      <c r="B190" t="s">
        <v>1281</v>
      </c>
      <c r="C190" t="s">
        <v>21</v>
      </c>
      <c r="D190">
        <v>22</v>
      </c>
      <c r="E190" t="s">
        <v>13</v>
      </c>
      <c r="F190" t="s">
        <v>1590</v>
      </c>
      <c r="G190">
        <v>393459</v>
      </c>
      <c r="H190">
        <v>58701</v>
      </c>
      <c r="I190">
        <v>116099</v>
      </c>
      <c r="J190" t="s">
        <v>1600</v>
      </c>
      <c r="K190" t="s">
        <v>16</v>
      </c>
      <c r="L190" t="s">
        <v>17</v>
      </c>
    </row>
    <row r="191" spans="1:12" x14ac:dyDescent="0.3">
      <c r="A191" t="s">
        <v>505</v>
      </c>
      <c r="B191" t="s">
        <v>1282</v>
      </c>
      <c r="C191" t="s">
        <v>48</v>
      </c>
      <c r="D191">
        <v>24</v>
      </c>
      <c r="E191" t="s">
        <v>13</v>
      </c>
      <c r="F191" t="s">
        <v>59</v>
      </c>
      <c r="G191">
        <v>137414</v>
      </c>
      <c r="H191">
        <v>29246</v>
      </c>
      <c r="I191">
        <v>118197</v>
      </c>
      <c r="J191" t="s">
        <v>1600</v>
      </c>
      <c r="K191" t="s">
        <v>33</v>
      </c>
      <c r="L191" t="s">
        <v>17</v>
      </c>
    </row>
    <row r="192" spans="1:12" x14ac:dyDescent="0.3">
      <c r="A192" t="s">
        <v>508</v>
      </c>
      <c r="B192" t="s">
        <v>1283</v>
      </c>
      <c r="C192" t="s">
        <v>21</v>
      </c>
      <c r="D192">
        <v>57</v>
      </c>
      <c r="E192" t="s">
        <v>1603</v>
      </c>
      <c r="F192" t="s">
        <v>22</v>
      </c>
      <c r="G192">
        <v>252076.5122</v>
      </c>
      <c r="H192">
        <v>114677</v>
      </c>
      <c r="I192">
        <v>115143</v>
      </c>
      <c r="J192" t="s">
        <v>1600</v>
      </c>
      <c r="K192" t="s">
        <v>33</v>
      </c>
      <c r="L192" t="s">
        <v>24</v>
      </c>
    </row>
    <row r="193" spans="1:12" x14ac:dyDescent="0.3">
      <c r="A193" t="s">
        <v>509</v>
      </c>
      <c r="B193" t="s">
        <v>1284</v>
      </c>
      <c r="C193" t="s">
        <v>44</v>
      </c>
      <c r="D193">
        <v>55</v>
      </c>
      <c r="E193" t="s">
        <v>1603</v>
      </c>
      <c r="F193" t="s">
        <v>22</v>
      </c>
      <c r="G193">
        <v>357817</v>
      </c>
      <c r="H193">
        <v>143134</v>
      </c>
      <c r="I193">
        <v>105627</v>
      </c>
      <c r="J193" t="s">
        <v>1600</v>
      </c>
      <c r="K193" t="s">
        <v>33</v>
      </c>
      <c r="L193" t="s">
        <v>24</v>
      </c>
    </row>
    <row r="194" spans="1:12" x14ac:dyDescent="0.3">
      <c r="A194" t="s">
        <v>512</v>
      </c>
      <c r="B194" t="s">
        <v>1285</v>
      </c>
      <c r="C194" t="s">
        <v>21</v>
      </c>
      <c r="D194">
        <v>52</v>
      </c>
      <c r="E194" t="s">
        <v>1603</v>
      </c>
      <c r="F194" t="s">
        <v>22</v>
      </c>
      <c r="G194">
        <v>267301</v>
      </c>
      <c r="H194">
        <v>65147</v>
      </c>
      <c r="I194">
        <v>89017</v>
      </c>
      <c r="J194" t="s">
        <v>1599</v>
      </c>
      <c r="K194" t="s">
        <v>23</v>
      </c>
      <c r="L194" t="s">
        <v>24</v>
      </c>
    </row>
    <row r="195" spans="1:12" x14ac:dyDescent="0.3">
      <c r="A195" t="s">
        <v>513</v>
      </c>
      <c r="B195" t="s">
        <v>1286</v>
      </c>
      <c r="C195" t="s">
        <v>21</v>
      </c>
      <c r="D195">
        <v>38</v>
      </c>
      <c r="E195" t="s">
        <v>1604</v>
      </c>
      <c r="F195" t="s">
        <v>22</v>
      </c>
      <c r="G195">
        <v>38570</v>
      </c>
      <c r="H195">
        <v>172496</v>
      </c>
      <c r="I195">
        <v>50085</v>
      </c>
      <c r="J195" t="s">
        <v>1599</v>
      </c>
      <c r="K195" t="s">
        <v>16</v>
      </c>
      <c r="L195" t="s">
        <v>17</v>
      </c>
    </row>
    <row r="196" spans="1:12" x14ac:dyDescent="0.3">
      <c r="A196" t="s">
        <v>516</v>
      </c>
      <c r="B196" t="s">
        <v>1287</v>
      </c>
      <c r="C196" t="s">
        <v>48</v>
      </c>
      <c r="D196">
        <v>57</v>
      </c>
      <c r="E196" t="s">
        <v>1603</v>
      </c>
      <c r="F196" t="s">
        <v>1590</v>
      </c>
      <c r="G196">
        <v>142157</v>
      </c>
      <c r="H196">
        <v>294194</v>
      </c>
      <c r="I196">
        <v>143345</v>
      </c>
      <c r="J196" t="s">
        <v>1600</v>
      </c>
      <c r="K196" t="s">
        <v>23</v>
      </c>
      <c r="L196" t="s">
        <v>17</v>
      </c>
    </row>
    <row r="197" spans="1:12" x14ac:dyDescent="0.3">
      <c r="A197" t="s">
        <v>517</v>
      </c>
      <c r="B197" t="s">
        <v>1288</v>
      </c>
      <c r="C197" t="s">
        <v>48</v>
      </c>
      <c r="D197">
        <v>28</v>
      </c>
      <c r="E197" t="s">
        <v>13</v>
      </c>
      <c r="F197" t="s">
        <v>59</v>
      </c>
      <c r="G197">
        <v>324504</v>
      </c>
      <c r="H197">
        <v>85106</v>
      </c>
      <c r="I197">
        <v>70595</v>
      </c>
      <c r="J197" t="s">
        <v>1599</v>
      </c>
      <c r="K197" t="s">
        <v>33</v>
      </c>
      <c r="L197" t="s">
        <v>24</v>
      </c>
    </row>
    <row r="198" spans="1:12" x14ac:dyDescent="0.3">
      <c r="A198" t="s">
        <v>520</v>
      </c>
      <c r="B198" t="s">
        <v>1289</v>
      </c>
      <c r="C198" t="s">
        <v>48</v>
      </c>
      <c r="D198">
        <v>25</v>
      </c>
      <c r="E198" t="s">
        <v>13</v>
      </c>
      <c r="F198" t="s">
        <v>22</v>
      </c>
      <c r="G198">
        <v>385218</v>
      </c>
      <c r="H198">
        <v>56024</v>
      </c>
      <c r="I198">
        <v>74402</v>
      </c>
      <c r="J198" t="s">
        <v>1599</v>
      </c>
      <c r="K198" t="s">
        <v>16</v>
      </c>
      <c r="L198" t="s">
        <v>17</v>
      </c>
    </row>
    <row r="199" spans="1:12" x14ac:dyDescent="0.3">
      <c r="A199" t="s">
        <v>522</v>
      </c>
      <c r="B199" t="s">
        <v>1290</v>
      </c>
      <c r="C199" t="s">
        <v>58</v>
      </c>
      <c r="D199">
        <v>48</v>
      </c>
      <c r="E199" t="s">
        <v>1604</v>
      </c>
      <c r="F199" t="s">
        <v>22</v>
      </c>
      <c r="G199">
        <v>273361</v>
      </c>
      <c r="H199">
        <v>84910</v>
      </c>
      <c r="I199">
        <v>106961</v>
      </c>
      <c r="J199" t="s">
        <v>1600</v>
      </c>
      <c r="K199" t="s">
        <v>33</v>
      </c>
      <c r="L199" t="s">
        <v>24</v>
      </c>
    </row>
    <row r="200" spans="1:12" x14ac:dyDescent="0.3">
      <c r="A200" t="s">
        <v>524</v>
      </c>
      <c r="B200" t="s">
        <v>1291</v>
      </c>
      <c r="C200" t="s">
        <v>14</v>
      </c>
      <c r="D200">
        <v>30</v>
      </c>
      <c r="E200" t="s">
        <v>13</v>
      </c>
      <c r="F200" t="s">
        <v>22</v>
      </c>
      <c r="G200">
        <v>461653</v>
      </c>
      <c r="H200">
        <v>185518.09090000001</v>
      </c>
      <c r="I200">
        <v>10221</v>
      </c>
      <c r="J200" t="s">
        <v>1601</v>
      </c>
      <c r="K200" t="s">
        <v>23</v>
      </c>
      <c r="L200" t="s">
        <v>17</v>
      </c>
    </row>
    <row r="201" spans="1:12" x14ac:dyDescent="0.3">
      <c r="A201" t="s">
        <v>526</v>
      </c>
      <c r="B201" t="s">
        <v>1292</v>
      </c>
      <c r="C201" t="s">
        <v>48</v>
      </c>
      <c r="D201">
        <v>33</v>
      </c>
      <c r="E201" t="s">
        <v>1604</v>
      </c>
      <c r="F201" t="s">
        <v>22</v>
      </c>
      <c r="G201">
        <v>3706</v>
      </c>
      <c r="H201">
        <v>291665</v>
      </c>
      <c r="I201">
        <v>47241</v>
      </c>
      <c r="J201" t="s">
        <v>1601</v>
      </c>
      <c r="K201" t="s">
        <v>33</v>
      </c>
      <c r="L201" t="s">
        <v>24</v>
      </c>
    </row>
    <row r="202" spans="1:12" x14ac:dyDescent="0.3">
      <c r="A202" t="s">
        <v>528</v>
      </c>
      <c r="B202" t="s">
        <v>1252</v>
      </c>
      <c r="C202" t="s">
        <v>44</v>
      </c>
      <c r="D202">
        <v>40</v>
      </c>
      <c r="E202" t="s">
        <v>1604</v>
      </c>
      <c r="F202" t="s">
        <v>59</v>
      </c>
      <c r="G202">
        <v>160888</v>
      </c>
      <c r="H202">
        <v>201370</v>
      </c>
      <c r="I202">
        <v>131358</v>
      </c>
      <c r="J202" t="s">
        <v>1600</v>
      </c>
      <c r="K202" t="s">
        <v>23</v>
      </c>
      <c r="L202" t="s">
        <v>24</v>
      </c>
    </row>
    <row r="203" spans="1:12" x14ac:dyDescent="0.3">
      <c r="A203" t="s">
        <v>529</v>
      </c>
      <c r="B203" t="s">
        <v>1293</v>
      </c>
      <c r="C203" t="s">
        <v>48</v>
      </c>
      <c r="D203">
        <v>31</v>
      </c>
      <c r="E203" t="s">
        <v>1604</v>
      </c>
      <c r="F203" t="s">
        <v>22</v>
      </c>
      <c r="G203">
        <v>173075</v>
      </c>
      <c r="H203">
        <v>196861</v>
      </c>
      <c r="I203">
        <v>38615</v>
      </c>
      <c r="J203" t="s">
        <v>1601</v>
      </c>
      <c r="K203" t="s">
        <v>33</v>
      </c>
      <c r="L203" t="s">
        <v>24</v>
      </c>
    </row>
    <row r="204" spans="1:12" x14ac:dyDescent="0.3">
      <c r="A204" t="s">
        <v>531</v>
      </c>
      <c r="B204" t="s">
        <v>1294</v>
      </c>
      <c r="C204" t="s">
        <v>48</v>
      </c>
      <c r="D204">
        <v>24</v>
      </c>
      <c r="E204" t="s">
        <v>13</v>
      </c>
      <c r="F204" t="s">
        <v>59</v>
      </c>
      <c r="G204">
        <v>399985</v>
      </c>
      <c r="H204">
        <v>29972</v>
      </c>
      <c r="I204">
        <v>11539</v>
      </c>
      <c r="J204" t="s">
        <v>1601</v>
      </c>
      <c r="K204" t="s">
        <v>16</v>
      </c>
      <c r="L204" t="s">
        <v>24</v>
      </c>
    </row>
    <row r="205" spans="1:12" x14ac:dyDescent="0.3">
      <c r="A205" t="s">
        <v>534</v>
      </c>
      <c r="B205" t="s">
        <v>1295</v>
      </c>
      <c r="C205" t="s">
        <v>14</v>
      </c>
      <c r="D205">
        <v>43</v>
      </c>
      <c r="E205" t="s">
        <v>1604</v>
      </c>
      <c r="F205" t="s">
        <v>59</v>
      </c>
      <c r="G205">
        <v>369506</v>
      </c>
      <c r="H205">
        <v>181233</v>
      </c>
      <c r="I205">
        <v>104626</v>
      </c>
      <c r="J205" t="s">
        <v>1600</v>
      </c>
      <c r="K205" t="s">
        <v>23</v>
      </c>
      <c r="L205" t="s">
        <v>17</v>
      </c>
    </row>
    <row r="206" spans="1:12" x14ac:dyDescent="0.3">
      <c r="A206" t="s">
        <v>537</v>
      </c>
      <c r="B206" t="s">
        <v>1296</v>
      </c>
      <c r="C206" t="s">
        <v>21</v>
      </c>
      <c r="D206">
        <v>53</v>
      </c>
      <c r="E206" t="s">
        <v>1603</v>
      </c>
      <c r="F206" t="s">
        <v>59</v>
      </c>
      <c r="G206">
        <v>437459</v>
      </c>
      <c r="H206">
        <v>8915</v>
      </c>
      <c r="I206">
        <v>67898</v>
      </c>
      <c r="J206" t="s">
        <v>1599</v>
      </c>
      <c r="K206" t="s">
        <v>23</v>
      </c>
      <c r="L206" t="s">
        <v>17</v>
      </c>
    </row>
    <row r="207" spans="1:12" x14ac:dyDescent="0.3">
      <c r="A207" t="s">
        <v>540</v>
      </c>
      <c r="B207" t="s">
        <v>1297</v>
      </c>
      <c r="C207" t="s">
        <v>14</v>
      </c>
      <c r="D207">
        <v>36</v>
      </c>
      <c r="E207" t="s">
        <v>1604</v>
      </c>
      <c r="F207" t="s">
        <v>59</v>
      </c>
      <c r="G207">
        <v>187536</v>
      </c>
      <c r="H207">
        <v>75679</v>
      </c>
      <c r="I207">
        <v>92037</v>
      </c>
      <c r="J207" t="s">
        <v>1599</v>
      </c>
      <c r="K207" t="s">
        <v>16</v>
      </c>
      <c r="L207" t="s">
        <v>17</v>
      </c>
    </row>
    <row r="208" spans="1:12" x14ac:dyDescent="0.3">
      <c r="A208" t="s">
        <v>542</v>
      </c>
      <c r="B208" t="s">
        <v>1298</v>
      </c>
      <c r="C208" t="s">
        <v>44</v>
      </c>
      <c r="D208">
        <v>49</v>
      </c>
      <c r="E208" t="s">
        <v>1604</v>
      </c>
      <c r="F208" t="s">
        <v>22</v>
      </c>
      <c r="G208">
        <v>279710</v>
      </c>
      <c r="H208">
        <v>116645</v>
      </c>
      <c r="I208">
        <v>77897</v>
      </c>
      <c r="J208" t="s">
        <v>1599</v>
      </c>
      <c r="K208" t="s">
        <v>33</v>
      </c>
      <c r="L208" t="s">
        <v>17</v>
      </c>
    </row>
    <row r="209" spans="1:12" x14ac:dyDescent="0.3">
      <c r="A209" t="s">
        <v>544</v>
      </c>
      <c r="B209" t="s">
        <v>1299</v>
      </c>
      <c r="C209" t="s">
        <v>58</v>
      </c>
      <c r="D209">
        <v>33</v>
      </c>
      <c r="E209" t="s">
        <v>1604</v>
      </c>
      <c r="F209" t="s">
        <v>59</v>
      </c>
      <c r="G209">
        <v>379479</v>
      </c>
      <c r="H209">
        <v>31375</v>
      </c>
      <c r="I209">
        <v>106578</v>
      </c>
      <c r="J209" t="s">
        <v>1600</v>
      </c>
      <c r="K209" t="s">
        <v>23</v>
      </c>
      <c r="L209" t="s">
        <v>24</v>
      </c>
    </row>
    <row r="210" spans="1:12" x14ac:dyDescent="0.3">
      <c r="A210" t="s">
        <v>546</v>
      </c>
      <c r="B210" t="s">
        <v>1300</v>
      </c>
      <c r="C210" t="s">
        <v>21</v>
      </c>
      <c r="D210">
        <v>58</v>
      </c>
      <c r="E210" t="s">
        <v>1603</v>
      </c>
      <c r="F210" t="s">
        <v>59</v>
      </c>
      <c r="G210">
        <v>441773</v>
      </c>
      <c r="H210">
        <v>259703</v>
      </c>
      <c r="I210">
        <v>39597</v>
      </c>
      <c r="J210" t="s">
        <v>1601</v>
      </c>
      <c r="K210" t="s">
        <v>23</v>
      </c>
      <c r="L210" t="s">
        <v>24</v>
      </c>
    </row>
    <row r="211" spans="1:12" x14ac:dyDescent="0.3">
      <c r="A211" t="s">
        <v>548</v>
      </c>
      <c r="B211" t="s">
        <v>1301</v>
      </c>
      <c r="C211" t="s">
        <v>44</v>
      </c>
      <c r="D211">
        <v>41</v>
      </c>
      <c r="E211" t="s">
        <v>1604</v>
      </c>
      <c r="F211" t="s">
        <v>59</v>
      </c>
      <c r="G211">
        <v>27728</v>
      </c>
      <c r="H211">
        <v>96516</v>
      </c>
      <c r="I211">
        <v>16978</v>
      </c>
      <c r="J211" t="s">
        <v>1601</v>
      </c>
      <c r="K211" t="s">
        <v>33</v>
      </c>
      <c r="L211" t="s">
        <v>17</v>
      </c>
    </row>
    <row r="212" spans="1:12" x14ac:dyDescent="0.3">
      <c r="A212" t="s">
        <v>551</v>
      </c>
      <c r="B212" t="s">
        <v>1302</v>
      </c>
      <c r="C212" t="s">
        <v>21</v>
      </c>
      <c r="D212">
        <v>21</v>
      </c>
      <c r="E212" t="s">
        <v>13</v>
      </c>
      <c r="F212" t="s">
        <v>59</v>
      </c>
      <c r="G212">
        <v>374804</v>
      </c>
      <c r="H212">
        <v>131689</v>
      </c>
      <c r="I212">
        <v>45773</v>
      </c>
      <c r="J212" t="s">
        <v>1601</v>
      </c>
      <c r="K212" t="s">
        <v>33</v>
      </c>
      <c r="L212" t="s">
        <v>24</v>
      </c>
    </row>
    <row r="213" spans="1:12" x14ac:dyDescent="0.3">
      <c r="A213" t="s">
        <v>553</v>
      </c>
      <c r="B213" t="s">
        <v>1303</v>
      </c>
      <c r="C213" t="s">
        <v>48</v>
      </c>
      <c r="D213">
        <v>32</v>
      </c>
      <c r="E213" t="s">
        <v>1604</v>
      </c>
      <c r="F213" t="s">
        <v>59</v>
      </c>
      <c r="G213">
        <v>53731</v>
      </c>
      <c r="H213">
        <v>50989</v>
      </c>
      <c r="I213">
        <v>123390</v>
      </c>
      <c r="J213" t="s">
        <v>1600</v>
      </c>
      <c r="K213" t="s">
        <v>16</v>
      </c>
      <c r="L213" t="s">
        <v>24</v>
      </c>
    </row>
    <row r="214" spans="1:12" x14ac:dyDescent="0.3">
      <c r="A214" t="s">
        <v>555</v>
      </c>
      <c r="B214" t="s">
        <v>1304</v>
      </c>
      <c r="C214" t="s">
        <v>44</v>
      </c>
      <c r="D214">
        <v>40</v>
      </c>
      <c r="E214" t="s">
        <v>1604</v>
      </c>
      <c r="F214" t="s">
        <v>22</v>
      </c>
      <c r="G214">
        <v>252076.5122</v>
      </c>
      <c r="H214">
        <v>117495</v>
      </c>
      <c r="I214">
        <v>97688</v>
      </c>
      <c r="J214" t="s">
        <v>1599</v>
      </c>
      <c r="K214" t="s">
        <v>33</v>
      </c>
      <c r="L214" t="s">
        <v>24</v>
      </c>
    </row>
    <row r="215" spans="1:12" x14ac:dyDescent="0.3">
      <c r="A215" t="s">
        <v>557</v>
      </c>
      <c r="B215" t="s">
        <v>1305</v>
      </c>
      <c r="C215" t="s">
        <v>58</v>
      </c>
      <c r="D215">
        <v>39.868583162217661</v>
      </c>
      <c r="E215" t="s">
        <v>1604</v>
      </c>
      <c r="F215" t="s">
        <v>59</v>
      </c>
      <c r="G215">
        <v>467647</v>
      </c>
      <c r="H215">
        <v>111897</v>
      </c>
      <c r="I215">
        <v>90662</v>
      </c>
      <c r="J215" t="s">
        <v>1599</v>
      </c>
      <c r="K215" t="s">
        <v>23</v>
      </c>
      <c r="L215" t="s">
        <v>24</v>
      </c>
    </row>
    <row r="216" spans="1:12" x14ac:dyDescent="0.3">
      <c r="A216" t="s">
        <v>559</v>
      </c>
      <c r="B216" t="s">
        <v>1306</v>
      </c>
      <c r="C216" t="s">
        <v>44</v>
      </c>
      <c r="D216">
        <v>51</v>
      </c>
      <c r="E216" t="s">
        <v>1603</v>
      </c>
      <c r="F216" t="s">
        <v>1590</v>
      </c>
      <c r="G216">
        <v>252076.5122</v>
      </c>
      <c r="H216">
        <v>158368</v>
      </c>
      <c r="I216">
        <v>123724</v>
      </c>
      <c r="J216" t="s">
        <v>1600</v>
      </c>
      <c r="K216" t="s">
        <v>33</v>
      </c>
      <c r="L216" t="s">
        <v>17</v>
      </c>
    </row>
    <row r="217" spans="1:12" x14ac:dyDescent="0.3">
      <c r="A217" t="s">
        <v>560</v>
      </c>
      <c r="B217" t="s">
        <v>1307</v>
      </c>
      <c r="C217" t="s">
        <v>21</v>
      </c>
      <c r="D217">
        <v>39.868583162217661</v>
      </c>
      <c r="E217" t="s">
        <v>1604</v>
      </c>
      <c r="F217" t="s">
        <v>59</v>
      </c>
      <c r="G217">
        <v>333141</v>
      </c>
      <c r="H217">
        <v>103652</v>
      </c>
      <c r="I217">
        <v>108797</v>
      </c>
      <c r="J217" t="s">
        <v>1600</v>
      </c>
      <c r="K217" t="s">
        <v>16</v>
      </c>
      <c r="L217" t="s">
        <v>17</v>
      </c>
    </row>
    <row r="218" spans="1:12" x14ac:dyDescent="0.3">
      <c r="A218" t="s">
        <v>563</v>
      </c>
      <c r="B218" t="s">
        <v>1308</v>
      </c>
      <c r="C218" t="s">
        <v>14</v>
      </c>
      <c r="D218">
        <v>40</v>
      </c>
      <c r="E218" t="s">
        <v>1604</v>
      </c>
      <c r="F218" t="s">
        <v>22</v>
      </c>
      <c r="G218">
        <v>198536</v>
      </c>
      <c r="H218">
        <v>117919</v>
      </c>
      <c r="I218">
        <v>146338</v>
      </c>
      <c r="J218" t="s">
        <v>1600</v>
      </c>
      <c r="K218" t="s">
        <v>33</v>
      </c>
      <c r="L218" t="s">
        <v>17</v>
      </c>
    </row>
    <row r="219" spans="1:12" x14ac:dyDescent="0.3">
      <c r="A219" t="s">
        <v>565</v>
      </c>
      <c r="B219" t="s">
        <v>1309</v>
      </c>
      <c r="C219" t="s">
        <v>48</v>
      </c>
      <c r="D219">
        <v>29</v>
      </c>
      <c r="E219" t="s">
        <v>13</v>
      </c>
      <c r="F219" t="s">
        <v>22</v>
      </c>
      <c r="G219">
        <v>162643</v>
      </c>
      <c r="H219">
        <v>232547</v>
      </c>
      <c r="I219">
        <v>134424</v>
      </c>
      <c r="J219" t="s">
        <v>1600</v>
      </c>
      <c r="K219" t="s">
        <v>33</v>
      </c>
      <c r="L219" t="s">
        <v>24</v>
      </c>
    </row>
    <row r="220" spans="1:12" x14ac:dyDescent="0.3">
      <c r="A220" t="s">
        <v>567</v>
      </c>
      <c r="B220" t="s">
        <v>1310</v>
      </c>
      <c r="C220" t="s">
        <v>21</v>
      </c>
      <c r="D220">
        <v>57</v>
      </c>
      <c r="E220" t="s">
        <v>1603</v>
      </c>
      <c r="F220" t="s">
        <v>1590</v>
      </c>
      <c r="G220">
        <v>355603</v>
      </c>
      <c r="H220">
        <v>262024</v>
      </c>
      <c r="I220">
        <v>53274</v>
      </c>
      <c r="J220" t="s">
        <v>1599</v>
      </c>
      <c r="K220" t="s">
        <v>23</v>
      </c>
      <c r="L220" t="s">
        <v>17</v>
      </c>
    </row>
    <row r="221" spans="1:12" x14ac:dyDescent="0.3">
      <c r="A221" t="s">
        <v>570</v>
      </c>
      <c r="B221" t="s">
        <v>1311</v>
      </c>
      <c r="C221" t="s">
        <v>14</v>
      </c>
      <c r="D221">
        <v>27</v>
      </c>
      <c r="E221" t="s">
        <v>13</v>
      </c>
      <c r="F221" t="s">
        <v>22</v>
      </c>
      <c r="G221">
        <v>246510</v>
      </c>
      <c r="H221">
        <v>252281</v>
      </c>
      <c r="I221">
        <v>77699</v>
      </c>
      <c r="J221" t="s">
        <v>1599</v>
      </c>
      <c r="K221" t="s">
        <v>23</v>
      </c>
      <c r="L221" t="s">
        <v>24</v>
      </c>
    </row>
    <row r="222" spans="1:12" x14ac:dyDescent="0.3">
      <c r="A222" t="s">
        <v>572</v>
      </c>
      <c r="B222" t="s">
        <v>1312</v>
      </c>
      <c r="C222" t="s">
        <v>44</v>
      </c>
      <c r="D222">
        <v>25</v>
      </c>
      <c r="E222" t="s">
        <v>13</v>
      </c>
      <c r="F222" t="s">
        <v>59</v>
      </c>
      <c r="G222">
        <v>92489</v>
      </c>
      <c r="H222">
        <v>68057</v>
      </c>
      <c r="I222">
        <v>83366</v>
      </c>
      <c r="J222" t="s">
        <v>1599</v>
      </c>
      <c r="K222" t="s">
        <v>16</v>
      </c>
      <c r="L222" t="s">
        <v>17</v>
      </c>
    </row>
    <row r="223" spans="1:12" x14ac:dyDescent="0.3">
      <c r="A223" t="s">
        <v>575</v>
      </c>
      <c r="B223" t="s">
        <v>1313</v>
      </c>
      <c r="C223" t="s">
        <v>58</v>
      </c>
      <c r="D223">
        <v>40</v>
      </c>
      <c r="E223" t="s">
        <v>1604</v>
      </c>
      <c r="F223" t="s">
        <v>59</v>
      </c>
      <c r="G223">
        <v>449914</v>
      </c>
      <c r="H223">
        <v>181459</v>
      </c>
      <c r="I223">
        <v>97438</v>
      </c>
      <c r="J223" t="s">
        <v>1599</v>
      </c>
      <c r="K223" t="s">
        <v>33</v>
      </c>
      <c r="L223" t="s">
        <v>17</v>
      </c>
    </row>
    <row r="224" spans="1:12" x14ac:dyDescent="0.3">
      <c r="A224" t="s">
        <v>577</v>
      </c>
      <c r="B224" t="s">
        <v>1314</v>
      </c>
      <c r="C224" t="s">
        <v>21</v>
      </c>
      <c r="D224">
        <v>29</v>
      </c>
      <c r="E224" t="s">
        <v>13</v>
      </c>
      <c r="F224" t="s">
        <v>1590</v>
      </c>
      <c r="G224">
        <v>100430</v>
      </c>
      <c r="H224">
        <v>229577</v>
      </c>
      <c r="I224">
        <v>85300</v>
      </c>
      <c r="J224" t="s">
        <v>1599</v>
      </c>
      <c r="K224" t="s">
        <v>16</v>
      </c>
      <c r="L224" t="s">
        <v>17</v>
      </c>
    </row>
    <row r="225" spans="1:12" x14ac:dyDescent="0.3">
      <c r="A225" t="s">
        <v>579</v>
      </c>
      <c r="B225" t="s">
        <v>1315</v>
      </c>
      <c r="C225" t="s">
        <v>21</v>
      </c>
      <c r="D225">
        <v>28</v>
      </c>
      <c r="E225" t="s">
        <v>13</v>
      </c>
      <c r="F225" t="s">
        <v>1590</v>
      </c>
      <c r="G225">
        <v>145754</v>
      </c>
      <c r="H225">
        <v>10382</v>
      </c>
      <c r="I225">
        <v>99604</v>
      </c>
      <c r="J225" t="s">
        <v>1599</v>
      </c>
      <c r="K225" t="s">
        <v>16</v>
      </c>
      <c r="L225" t="s">
        <v>17</v>
      </c>
    </row>
    <row r="226" spans="1:12" x14ac:dyDescent="0.3">
      <c r="A226" t="s">
        <v>581</v>
      </c>
      <c r="B226" t="s">
        <v>1316</v>
      </c>
      <c r="C226" t="s">
        <v>48</v>
      </c>
      <c r="D226">
        <v>28</v>
      </c>
      <c r="E226" t="s">
        <v>13</v>
      </c>
      <c r="F226" t="s">
        <v>22</v>
      </c>
      <c r="G226">
        <v>490192</v>
      </c>
      <c r="H226">
        <v>260016</v>
      </c>
      <c r="I226">
        <v>35474</v>
      </c>
      <c r="J226" t="s">
        <v>1601</v>
      </c>
      <c r="K226" t="s">
        <v>23</v>
      </c>
      <c r="L226" t="s">
        <v>24</v>
      </c>
    </row>
    <row r="227" spans="1:12" x14ac:dyDescent="0.3">
      <c r="A227" t="s">
        <v>584</v>
      </c>
      <c r="B227" t="s">
        <v>1317</v>
      </c>
      <c r="C227" t="s">
        <v>44</v>
      </c>
      <c r="D227">
        <v>38</v>
      </c>
      <c r="E227" t="s">
        <v>1604</v>
      </c>
      <c r="F227" t="s">
        <v>22</v>
      </c>
      <c r="G227">
        <v>455177</v>
      </c>
      <c r="H227">
        <v>43604</v>
      </c>
      <c r="I227">
        <v>110288</v>
      </c>
      <c r="J227" t="s">
        <v>1600</v>
      </c>
      <c r="K227" t="s">
        <v>23</v>
      </c>
      <c r="L227" t="s">
        <v>24</v>
      </c>
    </row>
    <row r="228" spans="1:12" x14ac:dyDescent="0.3">
      <c r="A228" t="s">
        <v>586</v>
      </c>
      <c r="B228" t="s">
        <v>1318</v>
      </c>
      <c r="C228" t="s">
        <v>58</v>
      </c>
      <c r="D228">
        <v>35</v>
      </c>
      <c r="E228" t="s">
        <v>1604</v>
      </c>
      <c r="F228" t="s">
        <v>22</v>
      </c>
      <c r="G228">
        <v>8503</v>
      </c>
      <c r="H228">
        <v>141166</v>
      </c>
      <c r="I228">
        <v>147723</v>
      </c>
      <c r="J228" t="s">
        <v>1600</v>
      </c>
      <c r="K228" t="s">
        <v>16</v>
      </c>
      <c r="L228" t="s">
        <v>24</v>
      </c>
    </row>
    <row r="229" spans="1:12" x14ac:dyDescent="0.3">
      <c r="A229" t="s">
        <v>587</v>
      </c>
      <c r="B229" t="s">
        <v>1319</v>
      </c>
      <c r="C229" t="s">
        <v>58</v>
      </c>
      <c r="D229">
        <v>44</v>
      </c>
      <c r="E229" t="s">
        <v>1604</v>
      </c>
      <c r="F229" t="s">
        <v>22</v>
      </c>
      <c r="G229">
        <v>66769</v>
      </c>
      <c r="H229">
        <v>90077</v>
      </c>
      <c r="I229">
        <v>30896</v>
      </c>
      <c r="J229" t="s">
        <v>1601</v>
      </c>
      <c r="K229" t="s">
        <v>16</v>
      </c>
      <c r="L229" t="s">
        <v>24</v>
      </c>
    </row>
    <row r="230" spans="1:12" x14ac:dyDescent="0.3">
      <c r="A230" t="s">
        <v>589</v>
      </c>
      <c r="B230" t="s">
        <v>1320</v>
      </c>
      <c r="C230" t="s">
        <v>58</v>
      </c>
      <c r="D230">
        <v>33</v>
      </c>
      <c r="E230" t="s">
        <v>1604</v>
      </c>
      <c r="F230" t="s">
        <v>59</v>
      </c>
      <c r="G230">
        <v>14098</v>
      </c>
      <c r="H230">
        <v>261495</v>
      </c>
      <c r="I230">
        <v>92688</v>
      </c>
      <c r="J230" t="s">
        <v>1599</v>
      </c>
      <c r="K230" t="s">
        <v>33</v>
      </c>
      <c r="L230" t="s">
        <v>24</v>
      </c>
    </row>
    <row r="231" spans="1:12" x14ac:dyDescent="0.3">
      <c r="A231" t="s">
        <v>592</v>
      </c>
      <c r="B231" t="s">
        <v>1321</v>
      </c>
      <c r="C231" t="s">
        <v>14</v>
      </c>
      <c r="D231">
        <v>46</v>
      </c>
      <c r="E231" t="s">
        <v>1604</v>
      </c>
      <c r="F231" t="s">
        <v>1590</v>
      </c>
      <c r="G231">
        <v>32423</v>
      </c>
      <c r="H231">
        <v>92123</v>
      </c>
      <c r="I231">
        <v>91434</v>
      </c>
      <c r="J231" t="s">
        <v>1599</v>
      </c>
      <c r="K231" t="s">
        <v>33</v>
      </c>
      <c r="L231" t="s">
        <v>17</v>
      </c>
    </row>
    <row r="232" spans="1:12" x14ac:dyDescent="0.3">
      <c r="A232" t="s">
        <v>593</v>
      </c>
      <c r="B232" t="s">
        <v>1322</v>
      </c>
      <c r="C232" t="s">
        <v>48</v>
      </c>
      <c r="D232">
        <v>43</v>
      </c>
      <c r="E232" t="s">
        <v>1604</v>
      </c>
      <c r="F232" t="s">
        <v>22</v>
      </c>
      <c r="G232">
        <v>495740</v>
      </c>
      <c r="H232">
        <v>260742</v>
      </c>
      <c r="I232">
        <v>65183</v>
      </c>
      <c r="J232" t="s">
        <v>1599</v>
      </c>
      <c r="K232" t="s">
        <v>23</v>
      </c>
      <c r="L232" t="s">
        <v>17</v>
      </c>
    </row>
    <row r="233" spans="1:12" x14ac:dyDescent="0.3">
      <c r="A233" t="s">
        <v>595</v>
      </c>
      <c r="B233" t="s">
        <v>1323</v>
      </c>
      <c r="C233" t="s">
        <v>48</v>
      </c>
      <c r="D233">
        <v>46</v>
      </c>
      <c r="E233" t="s">
        <v>1604</v>
      </c>
      <c r="F233" t="s">
        <v>22</v>
      </c>
      <c r="G233">
        <v>142692</v>
      </c>
      <c r="H233">
        <v>89969</v>
      </c>
      <c r="I233">
        <v>58843</v>
      </c>
      <c r="J233" t="s">
        <v>1599</v>
      </c>
      <c r="K233" t="s">
        <v>16</v>
      </c>
      <c r="L233" t="s">
        <v>17</v>
      </c>
    </row>
    <row r="234" spans="1:12" x14ac:dyDescent="0.3">
      <c r="A234" t="s">
        <v>596</v>
      </c>
      <c r="B234" t="s">
        <v>1324</v>
      </c>
      <c r="C234" t="s">
        <v>58</v>
      </c>
      <c r="D234">
        <v>47</v>
      </c>
      <c r="E234" t="s">
        <v>1604</v>
      </c>
      <c r="F234" t="s">
        <v>59</v>
      </c>
      <c r="G234">
        <v>39811</v>
      </c>
      <c r="H234">
        <v>54376</v>
      </c>
      <c r="I234">
        <v>132362</v>
      </c>
      <c r="J234" t="s">
        <v>1600</v>
      </c>
      <c r="K234" t="s">
        <v>16</v>
      </c>
      <c r="L234" t="s">
        <v>17</v>
      </c>
    </row>
    <row r="235" spans="1:12" x14ac:dyDescent="0.3">
      <c r="A235" t="s">
        <v>598</v>
      </c>
      <c r="B235" t="s">
        <v>1325</v>
      </c>
      <c r="C235" t="s">
        <v>58</v>
      </c>
      <c r="D235">
        <v>41</v>
      </c>
      <c r="E235" t="s">
        <v>1604</v>
      </c>
      <c r="F235" t="s">
        <v>59</v>
      </c>
      <c r="G235">
        <v>325458</v>
      </c>
      <c r="H235">
        <v>124323.75</v>
      </c>
      <c r="I235">
        <v>24131</v>
      </c>
      <c r="J235" t="s">
        <v>1601</v>
      </c>
      <c r="K235" t="s">
        <v>33</v>
      </c>
      <c r="L235" t="s">
        <v>17</v>
      </c>
    </row>
    <row r="236" spans="1:12" x14ac:dyDescent="0.3">
      <c r="A236" t="s">
        <v>600</v>
      </c>
      <c r="B236" t="s">
        <v>1326</v>
      </c>
      <c r="C236" t="s">
        <v>21</v>
      </c>
      <c r="D236">
        <v>55</v>
      </c>
      <c r="E236" t="s">
        <v>1603</v>
      </c>
      <c r="F236" t="s">
        <v>22</v>
      </c>
      <c r="G236">
        <v>498884</v>
      </c>
      <c r="H236">
        <v>157849</v>
      </c>
      <c r="I236">
        <v>24981</v>
      </c>
      <c r="J236" t="s">
        <v>1601</v>
      </c>
      <c r="K236" t="s">
        <v>23</v>
      </c>
      <c r="L236" t="s">
        <v>24</v>
      </c>
    </row>
    <row r="237" spans="1:12" x14ac:dyDescent="0.3">
      <c r="A237" t="s">
        <v>602</v>
      </c>
      <c r="B237" t="s">
        <v>1327</v>
      </c>
      <c r="C237" t="s">
        <v>44</v>
      </c>
      <c r="D237">
        <v>28</v>
      </c>
      <c r="E237" t="s">
        <v>13</v>
      </c>
      <c r="F237" t="s">
        <v>22</v>
      </c>
      <c r="G237">
        <v>367522</v>
      </c>
      <c r="H237">
        <v>13770</v>
      </c>
      <c r="I237">
        <v>18397</v>
      </c>
      <c r="J237" t="s">
        <v>1601</v>
      </c>
      <c r="K237" t="s">
        <v>16</v>
      </c>
      <c r="L237" t="s">
        <v>24</v>
      </c>
    </row>
    <row r="238" spans="1:12" x14ac:dyDescent="0.3">
      <c r="A238" t="s">
        <v>604</v>
      </c>
      <c r="B238" t="s">
        <v>1287</v>
      </c>
      <c r="C238" t="s">
        <v>44</v>
      </c>
      <c r="D238">
        <v>30</v>
      </c>
      <c r="E238" t="s">
        <v>13</v>
      </c>
      <c r="F238" t="s">
        <v>22</v>
      </c>
      <c r="G238">
        <v>74573</v>
      </c>
      <c r="H238">
        <v>181531</v>
      </c>
      <c r="I238">
        <v>101609</v>
      </c>
      <c r="J238" t="s">
        <v>1600</v>
      </c>
      <c r="K238" t="s">
        <v>23</v>
      </c>
      <c r="L238" t="s">
        <v>17</v>
      </c>
    </row>
    <row r="239" spans="1:12" x14ac:dyDescent="0.3">
      <c r="A239" t="s">
        <v>605</v>
      </c>
      <c r="B239" t="s">
        <v>1328</v>
      </c>
      <c r="C239" t="s">
        <v>48</v>
      </c>
      <c r="D239">
        <v>58</v>
      </c>
      <c r="E239" t="s">
        <v>1603</v>
      </c>
      <c r="F239" t="s">
        <v>1590</v>
      </c>
      <c r="G239">
        <v>316401</v>
      </c>
      <c r="H239">
        <v>126564</v>
      </c>
      <c r="I239">
        <v>46627</v>
      </c>
      <c r="J239" t="s">
        <v>1601</v>
      </c>
      <c r="K239" t="s">
        <v>33</v>
      </c>
      <c r="L239" t="s">
        <v>24</v>
      </c>
    </row>
    <row r="240" spans="1:12" x14ac:dyDescent="0.3">
      <c r="A240" t="s">
        <v>608</v>
      </c>
      <c r="B240" t="s">
        <v>1329</v>
      </c>
      <c r="C240" t="s">
        <v>21</v>
      </c>
      <c r="D240">
        <v>22</v>
      </c>
      <c r="E240" t="s">
        <v>13</v>
      </c>
      <c r="F240" t="s">
        <v>59</v>
      </c>
      <c r="G240">
        <v>252076.5122</v>
      </c>
      <c r="H240">
        <v>125610</v>
      </c>
      <c r="I240">
        <v>144558</v>
      </c>
      <c r="J240" t="s">
        <v>1600</v>
      </c>
      <c r="K240" t="s">
        <v>23</v>
      </c>
      <c r="L240" t="s">
        <v>17</v>
      </c>
    </row>
    <row r="241" spans="1:12" x14ac:dyDescent="0.3">
      <c r="A241" t="s">
        <v>609</v>
      </c>
      <c r="B241" t="s">
        <v>1330</v>
      </c>
      <c r="C241" t="s">
        <v>48</v>
      </c>
      <c r="D241">
        <v>44</v>
      </c>
      <c r="E241" t="s">
        <v>1604</v>
      </c>
      <c r="F241" t="s">
        <v>59</v>
      </c>
      <c r="G241">
        <v>392968</v>
      </c>
      <c r="H241">
        <v>98440</v>
      </c>
      <c r="I241">
        <v>104452</v>
      </c>
      <c r="J241" t="s">
        <v>1600</v>
      </c>
      <c r="K241" t="s">
        <v>16</v>
      </c>
      <c r="L241" t="s">
        <v>24</v>
      </c>
    </row>
    <row r="242" spans="1:12" x14ac:dyDescent="0.3">
      <c r="A242" t="s">
        <v>612</v>
      </c>
      <c r="B242" t="s">
        <v>1331</v>
      </c>
      <c r="C242" t="s">
        <v>21</v>
      </c>
      <c r="D242">
        <v>25</v>
      </c>
      <c r="E242" t="s">
        <v>13</v>
      </c>
      <c r="F242" t="s">
        <v>59</v>
      </c>
      <c r="G242">
        <v>141019</v>
      </c>
      <c r="H242">
        <v>237860</v>
      </c>
      <c r="I242">
        <v>76026</v>
      </c>
      <c r="J242" t="s">
        <v>1599</v>
      </c>
      <c r="K242" t="s">
        <v>16</v>
      </c>
      <c r="L242" t="s">
        <v>24</v>
      </c>
    </row>
    <row r="243" spans="1:12" x14ac:dyDescent="0.3">
      <c r="A243" t="s">
        <v>614</v>
      </c>
      <c r="B243" t="s">
        <v>1332</v>
      </c>
      <c r="C243" t="s">
        <v>58</v>
      </c>
      <c r="D243">
        <v>41</v>
      </c>
      <c r="E243" t="s">
        <v>1604</v>
      </c>
      <c r="F243" t="s">
        <v>1590</v>
      </c>
      <c r="G243">
        <v>26355</v>
      </c>
      <c r="H243">
        <v>288262</v>
      </c>
      <c r="I243">
        <v>140545</v>
      </c>
      <c r="J243" t="s">
        <v>1600</v>
      </c>
      <c r="K243" t="s">
        <v>16</v>
      </c>
      <c r="L243" t="s">
        <v>24</v>
      </c>
    </row>
    <row r="244" spans="1:12" x14ac:dyDescent="0.3">
      <c r="A244" t="s">
        <v>617</v>
      </c>
      <c r="B244" t="s">
        <v>1333</v>
      </c>
      <c r="C244" t="s">
        <v>44</v>
      </c>
      <c r="D244">
        <v>39</v>
      </c>
      <c r="E244" t="s">
        <v>1604</v>
      </c>
      <c r="F244" t="s">
        <v>22</v>
      </c>
      <c r="G244">
        <v>33060</v>
      </c>
      <c r="H244">
        <v>13304</v>
      </c>
      <c r="I244">
        <v>68599</v>
      </c>
      <c r="J244" t="s">
        <v>1599</v>
      </c>
      <c r="K244" t="s">
        <v>23</v>
      </c>
      <c r="L244" t="s">
        <v>17</v>
      </c>
    </row>
    <row r="245" spans="1:12" x14ac:dyDescent="0.3">
      <c r="A245" t="s">
        <v>620</v>
      </c>
      <c r="B245" t="s">
        <v>1334</v>
      </c>
      <c r="C245" t="s">
        <v>44</v>
      </c>
      <c r="D245">
        <v>29</v>
      </c>
      <c r="E245" t="s">
        <v>13</v>
      </c>
      <c r="F245" t="s">
        <v>22</v>
      </c>
      <c r="G245">
        <v>225132</v>
      </c>
      <c r="H245">
        <v>221918.5833</v>
      </c>
      <c r="I245">
        <v>138186</v>
      </c>
      <c r="J245" t="s">
        <v>1600</v>
      </c>
      <c r="K245" t="s">
        <v>33</v>
      </c>
      <c r="L245" t="s">
        <v>17</v>
      </c>
    </row>
    <row r="246" spans="1:12" x14ac:dyDescent="0.3">
      <c r="A246" t="s">
        <v>621</v>
      </c>
      <c r="B246" t="s">
        <v>1335</v>
      </c>
      <c r="C246" t="s">
        <v>48</v>
      </c>
      <c r="D246">
        <v>32</v>
      </c>
      <c r="E246" t="s">
        <v>1604</v>
      </c>
      <c r="F246" t="s">
        <v>59</v>
      </c>
      <c r="G246">
        <v>378162</v>
      </c>
      <c r="H246">
        <v>29771</v>
      </c>
      <c r="I246">
        <v>90666</v>
      </c>
      <c r="J246" t="s">
        <v>1599</v>
      </c>
      <c r="K246" t="s">
        <v>23</v>
      </c>
      <c r="L246" t="s">
        <v>17</v>
      </c>
    </row>
    <row r="247" spans="1:12" x14ac:dyDescent="0.3">
      <c r="A247" t="s">
        <v>623</v>
      </c>
      <c r="B247" t="s">
        <v>1336</v>
      </c>
      <c r="C247" t="s">
        <v>14</v>
      </c>
      <c r="D247">
        <v>51</v>
      </c>
      <c r="E247" t="s">
        <v>1603</v>
      </c>
      <c r="F247" t="s">
        <v>59</v>
      </c>
      <c r="G247">
        <v>445852</v>
      </c>
      <c r="H247">
        <v>174166</v>
      </c>
      <c r="I247">
        <v>40816</v>
      </c>
      <c r="J247" t="s">
        <v>1601</v>
      </c>
      <c r="K247" t="s">
        <v>33</v>
      </c>
      <c r="L247" t="s">
        <v>24</v>
      </c>
    </row>
    <row r="248" spans="1:12" x14ac:dyDescent="0.3">
      <c r="A248" t="s">
        <v>625</v>
      </c>
      <c r="B248" t="s">
        <v>1337</v>
      </c>
      <c r="C248" t="s">
        <v>58</v>
      </c>
      <c r="D248">
        <v>28</v>
      </c>
      <c r="E248" t="s">
        <v>13</v>
      </c>
      <c r="F248" t="s">
        <v>59</v>
      </c>
      <c r="G248">
        <v>374533</v>
      </c>
      <c r="H248">
        <v>202684</v>
      </c>
      <c r="I248">
        <v>58850</v>
      </c>
      <c r="J248" t="s">
        <v>1599</v>
      </c>
      <c r="K248" t="s">
        <v>23</v>
      </c>
      <c r="L248" t="s">
        <v>24</v>
      </c>
    </row>
    <row r="249" spans="1:12" x14ac:dyDescent="0.3">
      <c r="A249" t="s">
        <v>628</v>
      </c>
      <c r="B249" t="s">
        <v>1338</v>
      </c>
      <c r="C249" t="s">
        <v>48</v>
      </c>
      <c r="D249">
        <v>25</v>
      </c>
      <c r="E249" t="s">
        <v>13</v>
      </c>
      <c r="F249" t="s">
        <v>22</v>
      </c>
      <c r="G249">
        <v>252076.5122</v>
      </c>
      <c r="H249">
        <v>229631</v>
      </c>
      <c r="I249">
        <v>10023</v>
      </c>
      <c r="J249" t="s">
        <v>1601</v>
      </c>
      <c r="K249" t="s">
        <v>16</v>
      </c>
      <c r="L249" t="s">
        <v>17</v>
      </c>
    </row>
    <row r="250" spans="1:12" x14ac:dyDescent="0.3">
      <c r="A250" t="s">
        <v>630</v>
      </c>
      <c r="B250" t="s">
        <v>1339</v>
      </c>
      <c r="C250" t="s">
        <v>58</v>
      </c>
      <c r="D250">
        <v>39.868583162217661</v>
      </c>
      <c r="E250" t="s">
        <v>1604</v>
      </c>
      <c r="F250" t="s">
        <v>22</v>
      </c>
      <c r="G250">
        <v>64757</v>
      </c>
      <c r="H250">
        <v>137797</v>
      </c>
      <c r="I250">
        <v>81626</v>
      </c>
      <c r="J250" t="s">
        <v>1599</v>
      </c>
      <c r="K250" t="s">
        <v>23</v>
      </c>
      <c r="L250" t="s">
        <v>24</v>
      </c>
    </row>
    <row r="251" spans="1:12" x14ac:dyDescent="0.3">
      <c r="A251" t="s">
        <v>632</v>
      </c>
      <c r="B251" t="s">
        <v>1340</v>
      </c>
      <c r="C251" t="s">
        <v>14</v>
      </c>
      <c r="D251">
        <v>46</v>
      </c>
      <c r="E251" t="s">
        <v>1604</v>
      </c>
      <c r="F251" t="s">
        <v>22</v>
      </c>
      <c r="G251">
        <v>200473</v>
      </c>
      <c r="H251">
        <v>198367</v>
      </c>
      <c r="I251">
        <v>18240</v>
      </c>
      <c r="J251" t="s">
        <v>1601</v>
      </c>
      <c r="K251" t="s">
        <v>23</v>
      </c>
      <c r="L251" t="s">
        <v>17</v>
      </c>
    </row>
    <row r="252" spans="1:12" x14ac:dyDescent="0.3">
      <c r="A252" t="s">
        <v>634</v>
      </c>
      <c r="B252" t="s">
        <v>1341</v>
      </c>
      <c r="C252" t="s">
        <v>21</v>
      </c>
      <c r="D252">
        <v>29</v>
      </c>
      <c r="E252" t="s">
        <v>13</v>
      </c>
      <c r="F252" t="s">
        <v>59</v>
      </c>
      <c r="G252">
        <v>133874</v>
      </c>
      <c r="H252">
        <v>230994</v>
      </c>
      <c r="I252">
        <v>60374</v>
      </c>
      <c r="J252" t="s">
        <v>1599</v>
      </c>
      <c r="K252" t="s">
        <v>23</v>
      </c>
      <c r="L252" t="s">
        <v>17</v>
      </c>
    </row>
    <row r="253" spans="1:12" x14ac:dyDescent="0.3">
      <c r="A253" t="s">
        <v>635</v>
      </c>
      <c r="B253" t="s">
        <v>1342</v>
      </c>
      <c r="C253" t="s">
        <v>48</v>
      </c>
      <c r="D253">
        <v>32</v>
      </c>
      <c r="E253" t="s">
        <v>1604</v>
      </c>
      <c r="F253" t="s">
        <v>22</v>
      </c>
      <c r="G253">
        <v>120800</v>
      </c>
      <c r="H253">
        <v>193983</v>
      </c>
      <c r="I253">
        <v>72555</v>
      </c>
      <c r="J253" t="s">
        <v>1599</v>
      </c>
      <c r="K253" t="s">
        <v>33</v>
      </c>
      <c r="L253" t="s">
        <v>24</v>
      </c>
    </row>
    <row r="254" spans="1:12" x14ac:dyDescent="0.3">
      <c r="A254" t="s">
        <v>637</v>
      </c>
      <c r="B254" t="s">
        <v>1343</v>
      </c>
      <c r="C254" t="s">
        <v>44</v>
      </c>
      <c r="D254">
        <v>21</v>
      </c>
      <c r="E254" t="s">
        <v>13</v>
      </c>
      <c r="F254" t="s">
        <v>22</v>
      </c>
      <c r="G254">
        <v>24494</v>
      </c>
      <c r="H254">
        <v>113155</v>
      </c>
      <c r="I254">
        <v>10107</v>
      </c>
      <c r="J254" t="s">
        <v>1601</v>
      </c>
      <c r="K254" t="s">
        <v>23</v>
      </c>
      <c r="L254" t="s">
        <v>17</v>
      </c>
    </row>
    <row r="255" spans="1:12" x14ac:dyDescent="0.3">
      <c r="A255" t="s">
        <v>639</v>
      </c>
      <c r="B255" t="s">
        <v>1344</v>
      </c>
      <c r="C255" t="s">
        <v>14</v>
      </c>
      <c r="D255">
        <v>43</v>
      </c>
      <c r="E255" t="s">
        <v>1604</v>
      </c>
      <c r="F255" t="s">
        <v>59</v>
      </c>
      <c r="G255">
        <v>60001</v>
      </c>
      <c r="H255">
        <v>242413</v>
      </c>
      <c r="I255">
        <v>12218</v>
      </c>
      <c r="J255" t="s">
        <v>1601</v>
      </c>
      <c r="K255" t="s">
        <v>33</v>
      </c>
      <c r="L255" t="s">
        <v>17</v>
      </c>
    </row>
    <row r="256" spans="1:12" x14ac:dyDescent="0.3">
      <c r="A256" t="s">
        <v>642</v>
      </c>
      <c r="B256" t="s">
        <v>1345</v>
      </c>
      <c r="C256" t="s">
        <v>14</v>
      </c>
      <c r="D256">
        <v>44</v>
      </c>
      <c r="E256" t="s">
        <v>1604</v>
      </c>
      <c r="F256" t="s">
        <v>22</v>
      </c>
      <c r="G256">
        <v>3592</v>
      </c>
      <c r="H256">
        <v>100851</v>
      </c>
      <c r="I256">
        <v>62228</v>
      </c>
      <c r="J256" t="s">
        <v>1599</v>
      </c>
      <c r="K256" t="s">
        <v>16</v>
      </c>
      <c r="L256" t="s">
        <v>24</v>
      </c>
    </row>
    <row r="257" spans="1:12" x14ac:dyDescent="0.3">
      <c r="A257" t="s">
        <v>644</v>
      </c>
      <c r="B257" t="s">
        <v>1346</v>
      </c>
      <c r="C257" t="s">
        <v>21</v>
      </c>
      <c r="D257">
        <v>33</v>
      </c>
      <c r="E257" t="s">
        <v>1604</v>
      </c>
      <c r="F257" t="s">
        <v>59</v>
      </c>
      <c r="G257">
        <v>181826</v>
      </c>
      <c r="H257">
        <v>165665</v>
      </c>
      <c r="I257">
        <v>88736</v>
      </c>
      <c r="J257" t="s">
        <v>1599</v>
      </c>
      <c r="K257" t="s">
        <v>23</v>
      </c>
      <c r="L257" t="s">
        <v>17</v>
      </c>
    </row>
    <row r="258" spans="1:12" x14ac:dyDescent="0.3">
      <c r="A258" t="s">
        <v>646</v>
      </c>
      <c r="B258" t="s">
        <v>1347</v>
      </c>
      <c r="C258" t="s">
        <v>44</v>
      </c>
      <c r="D258">
        <v>54</v>
      </c>
      <c r="E258" t="s">
        <v>1603</v>
      </c>
      <c r="F258" t="s">
        <v>22</v>
      </c>
      <c r="G258">
        <v>394037</v>
      </c>
      <c r="H258">
        <v>3311</v>
      </c>
      <c r="I258">
        <v>135619</v>
      </c>
      <c r="J258" t="s">
        <v>1600</v>
      </c>
      <c r="K258" t="s">
        <v>23</v>
      </c>
      <c r="L258" t="s">
        <v>24</v>
      </c>
    </row>
    <row r="259" spans="1:12" x14ac:dyDescent="0.3">
      <c r="A259" t="s">
        <v>648</v>
      </c>
      <c r="B259" t="s">
        <v>1348</v>
      </c>
      <c r="C259" t="s">
        <v>58</v>
      </c>
      <c r="D259">
        <v>21</v>
      </c>
      <c r="E259" t="s">
        <v>13</v>
      </c>
      <c r="F259" t="s">
        <v>59</v>
      </c>
      <c r="G259">
        <v>408755</v>
      </c>
      <c r="H259">
        <v>188114</v>
      </c>
      <c r="I259">
        <v>137618</v>
      </c>
      <c r="J259" t="s">
        <v>1600</v>
      </c>
      <c r="K259" t="s">
        <v>23</v>
      </c>
      <c r="L259" t="s">
        <v>24</v>
      </c>
    </row>
    <row r="260" spans="1:12" x14ac:dyDescent="0.3">
      <c r="A260" t="s">
        <v>650</v>
      </c>
      <c r="B260" t="s">
        <v>1349</v>
      </c>
      <c r="C260" t="s">
        <v>14</v>
      </c>
      <c r="D260">
        <v>31</v>
      </c>
      <c r="E260" t="s">
        <v>1604</v>
      </c>
      <c r="F260" t="s">
        <v>59</v>
      </c>
      <c r="G260">
        <v>108050</v>
      </c>
      <c r="H260">
        <v>184413.71429999999</v>
      </c>
      <c r="I260">
        <v>93221</v>
      </c>
      <c r="J260" t="s">
        <v>1599</v>
      </c>
      <c r="K260" t="s">
        <v>16</v>
      </c>
      <c r="L260" t="s">
        <v>24</v>
      </c>
    </row>
    <row r="261" spans="1:12" x14ac:dyDescent="0.3">
      <c r="A261" t="s">
        <v>652</v>
      </c>
      <c r="B261" t="s">
        <v>1350</v>
      </c>
      <c r="C261" t="s">
        <v>58</v>
      </c>
      <c r="D261">
        <v>39</v>
      </c>
      <c r="E261" t="s">
        <v>1604</v>
      </c>
      <c r="F261" t="s">
        <v>22</v>
      </c>
      <c r="G261">
        <v>100244</v>
      </c>
      <c r="H261">
        <v>145189.71429999999</v>
      </c>
      <c r="I261">
        <v>134279</v>
      </c>
      <c r="J261" t="s">
        <v>1600</v>
      </c>
      <c r="K261" t="s">
        <v>23</v>
      </c>
      <c r="L261" t="s">
        <v>17</v>
      </c>
    </row>
    <row r="262" spans="1:12" x14ac:dyDescent="0.3">
      <c r="A262" t="s">
        <v>654</v>
      </c>
      <c r="B262" t="s">
        <v>1351</v>
      </c>
      <c r="C262" t="s">
        <v>14</v>
      </c>
      <c r="D262">
        <v>29</v>
      </c>
      <c r="E262" t="s">
        <v>13</v>
      </c>
      <c r="F262" t="s">
        <v>59</v>
      </c>
      <c r="G262">
        <v>61657</v>
      </c>
      <c r="H262">
        <v>221835</v>
      </c>
      <c r="I262">
        <v>117826</v>
      </c>
      <c r="J262" t="s">
        <v>1600</v>
      </c>
      <c r="K262" t="s">
        <v>23</v>
      </c>
      <c r="L262" t="s">
        <v>17</v>
      </c>
    </row>
    <row r="263" spans="1:12" x14ac:dyDescent="0.3">
      <c r="A263" t="s">
        <v>656</v>
      </c>
      <c r="B263" t="s">
        <v>1352</v>
      </c>
      <c r="C263" t="s">
        <v>44</v>
      </c>
      <c r="D263">
        <v>57</v>
      </c>
      <c r="E263" t="s">
        <v>1603</v>
      </c>
      <c r="F263" t="s">
        <v>59</v>
      </c>
      <c r="G263">
        <v>409796</v>
      </c>
      <c r="H263">
        <v>183156</v>
      </c>
      <c r="I263">
        <v>139715</v>
      </c>
      <c r="J263" t="s">
        <v>1600</v>
      </c>
      <c r="K263" t="s">
        <v>16</v>
      </c>
      <c r="L263" t="s">
        <v>17</v>
      </c>
    </row>
    <row r="264" spans="1:12" x14ac:dyDescent="0.3">
      <c r="A264" t="s">
        <v>657</v>
      </c>
      <c r="B264" t="s">
        <v>1353</v>
      </c>
      <c r="C264" t="s">
        <v>48</v>
      </c>
      <c r="D264">
        <v>54</v>
      </c>
      <c r="E264" t="s">
        <v>1603</v>
      </c>
      <c r="F264" t="s">
        <v>59</v>
      </c>
      <c r="G264">
        <v>301288</v>
      </c>
      <c r="H264">
        <v>246304</v>
      </c>
      <c r="I264">
        <v>87492</v>
      </c>
      <c r="J264" t="s">
        <v>1599</v>
      </c>
      <c r="K264" t="s">
        <v>16</v>
      </c>
      <c r="L264" t="s">
        <v>17</v>
      </c>
    </row>
    <row r="265" spans="1:12" x14ac:dyDescent="0.3">
      <c r="A265" t="s">
        <v>660</v>
      </c>
      <c r="B265" t="s">
        <v>1354</v>
      </c>
      <c r="C265" t="s">
        <v>44</v>
      </c>
      <c r="D265">
        <v>45</v>
      </c>
      <c r="E265" t="s">
        <v>1604</v>
      </c>
      <c r="F265" t="s">
        <v>59</v>
      </c>
      <c r="G265">
        <v>415236</v>
      </c>
      <c r="H265">
        <v>217909</v>
      </c>
      <c r="I265">
        <v>58843</v>
      </c>
      <c r="J265" t="s">
        <v>1599</v>
      </c>
      <c r="K265" t="s">
        <v>16</v>
      </c>
      <c r="L265" t="s">
        <v>17</v>
      </c>
    </row>
    <row r="266" spans="1:12" x14ac:dyDescent="0.3">
      <c r="A266" t="s">
        <v>662</v>
      </c>
      <c r="B266" t="s">
        <v>1355</v>
      </c>
      <c r="C266" t="s">
        <v>21</v>
      </c>
      <c r="D266">
        <v>28</v>
      </c>
      <c r="E266" t="s">
        <v>13</v>
      </c>
      <c r="F266" t="s">
        <v>59</v>
      </c>
      <c r="G266">
        <v>145056</v>
      </c>
      <c r="H266">
        <v>138211</v>
      </c>
      <c r="I266">
        <v>105442</v>
      </c>
      <c r="J266" t="s">
        <v>1600</v>
      </c>
      <c r="K266" t="s">
        <v>16</v>
      </c>
      <c r="L266" t="s">
        <v>24</v>
      </c>
    </row>
    <row r="267" spans="1:12" x14ac:dyDescent="0.3">
      <c r="A267" t="s">
        <v>664</v>
      </c>
      <c r="B267" t="s">
        <v>1356</v>
      </c>
      <c r="C267" t="s">
        <v>58</v>
      </c>
      <c r="D267">
        <v>38</v>
      </c>
      <c r="E267" t="s">
        <v>1604</v>
      </c>
      <c r="F267" t="s">
        <v>59</v>
      </c>
      <c r="G267">
        <v>138652</v>
      </c>
      <c r="H267">
        <v>40718</v>
      </c>
      <c r="I267">
        <v>148569</v>
      </c>
      <c r="J267" t="s">
        <v>1600</v>
      </c>
      <c r="K267" t="s">
        <v>23</v>
      </c>
      <c r="L267" t="s">
        <v>17</v>
      </c>
    </row>
    <row r="268" spans="1:12" x14ac:dyDescent="0.3">
      <c r="A268" t="s">
        <v>666</v>
      </c>
      <c r="B268" t="s">
        <v>1357</v>
      </c>
      <c r="C268" t="s">
        <v>14</v>
      </c>
      <c r="D268">
        <v>59</v>
      </c>
      <c r="E268" t="s">
        <v>1603</v>
      </c>
      <c r="F268" t="s">
        <v>22</v>
      </c>
      <c r="G268">
        <v>317699</v>
      </c>
      <c r="H268">
        <v>142775</v>
      </c>
      <c r="I268">
        <v>14876</v>
      </c>
      <c r="J268" t="s">
        <v>1601</v>
      </c>
      <c r="K268" t="s">
        <v>33</v>
      </c>
      <c r="L268" t="s">
        <v>24</v>
      </c>
    </row>
    <row r="269" spans="1:12" x14ac:dyDescent="0.3">
      <c r="A269" t="s">
        <v>668</v>
      </c>
      <c r="B269" t="s">
        <v>1358</v>
      </c>
      <c r="C269" t="s">
        <v>14</v>
      </c>
      <c r="D269">
        <v>50</v>
      </c>
      <c r="E269" t="s">
        <v>1604</v>
      </c>
      <c r="F269" t="s">
        <v>1590</v>
      </c>
      <c r="G269">
        <v>439957</v>
      </c>
      <c r="H269">
        <v>142534</v>
      </c>
      <c r="I269">
        <v>97398</v>
      </c>
      <c r="J269" t="s">
        <v>1599</v>
      </c>
      <c r="K269" t="s">
        <v>33</v>
      </c>
      <c r="L269" t="s">
        <v>24</v>
      </c>
    </row>
    <row r="270" spans="1:12" x14ac:dyDescent="0.3">
      <c r="A270" t="s">
        <v>670</v>
      </c>
      <c r="B270" t="s">
        <v>1359</v>
      </c>
      <c r="C270" t="s">
        <v>14</v>
      </c>
      <c r="D270">
        <v>37</v>
      </c>
      <c r="E270" t="s">
        <v>1604</v>
      </c>
      <c r="F270" t="s">
        <v>22</v>
      </c>
      <c r="G270">
        <v>413130</v>
      </c>
      <c r="H270">
        <v>264306</v>
      </c>
      <c r="I270">
        <v>39586</v>
      </c>
      <c r="J270" t="s">
        <v>1601</v>
      </c>
      <c r="K270" t="s">
        <v>23</v>
      </c>
      <c r="L270" t="s">
        <v>17</v>
      </c>
    </row>
    <row r="271" spans="1:12" x14ac:dyDescent="0.3">
      <c r="A271" t="s">
        <v>671</v>
      </c>
      <c r="B271" t="s">
        <v>1360</v>
      </c>
      <c r="C271" t="s">
        <v>44</v>
      </c>
      <c r="D271">
        <v>39.868583162217661</v>
      </c>
      <c r="E271" t="s">
        <v>1604</v>
      </c>
      <c r="F271" t="s">
        <v>22</v>
      </c>
      <c r="G271">
        <v>351783</v>
      </c>
      <c r="H271">
        <v>9680</v>
      </c>
      <c r="I271">
        <v>140390</v>
      </c>
      <c r="J271" t="s">
        <v>1600</v>
      </c>
      <c r="K271" t="s">
        <v>23</v>
      </c>
      <c r="L271" t="s">
        <v>24</v>
      </c>
    </row>
    <row r="272" spans="1:12" x14ac:dyDescent="0.3">
      <c r="A272" t="s">
        <v>673</v>
      </c>
      <c r="B272" t="s">
        <v>1361</v>
      </c>
      <c r="C272" t="s">
        <v>21</v>
      </c>
      <c r="D272">
        <v>43</v>
      </c>
      <c r="E272" t="s">
        <v>1604</v>
      </c>
      <c r="F272" t="s">
        <v>59</v>
      </c>
      <c r="G272">
        <v>102373</v>
      </c>
      <c r="H272">
        <v>154006.86670000001</v>
      </c>
      <c r="I272">
        <v>149188</v>
      </c>
      <c r="J272" t="s">
        <v>1600</v>
      </c>
      <c r="K272" t="s">
        <v>23</v>
      </c>
      <c r="L272" t="s">
        <v>24</v>
      </c>
    </row>
    <row r="273" spans="1:12" x14ac:dyDescent="0.3">
      <c r="A273" t="s">
        <v>675</v>
      </c>
      <c r="B273" t="s">
        <v>1362</v>
      </c>
      <c r="C273" t="s">
        <v>21</v>
      </c>
      <c r="D273">
        <v>23</v>
      </c>
      <c r="E273" t="s">
        <v>13</v>
      </c>
      <c r="F273" t="s">
        <v>1590</v>
      </c>
      <c r="G273">
        <v>287024</v>
      </c>
      <c r="H273">
        <v>126404</v>
      </c>
      <c r="I273">
        <v>89780</v>
      </c>
      <c r="J273" t="s">
        <v>1599</v>
      </c>
      <c r="K273" t="s">
        <v>16</v>
      </c>
      <c r="L273" t="s">
        <v>17</v>
      </c>
    </row>
    <row r="274" spans="1:12" x14ac:dyDescent="0.3">
      <c r="A274" t="s">
        <v>676</v>
      </c>
      <c r="B274" t="s">
        <v>1363</v>
      </c>
      <c r="C274" t="s">
        <v>44</v>
      </c>
      <c r="D274">
        <v>22</v>
      </c>
      <c r="E274" t="s">
        <v>13</v>
      </c>
      <c r="F274" t="s">
        <v>59</v>
      </c>
      <c r="G274">
        <v>172316</v>
      </c>
      <c r="H274">
        <v>44055</v>
      </c>
      <c r="I274">
        <v>42063</v>
      </c>
      <c r="J274" t="s">
        <v>1601</v>
      </c>
      <c r="K274" t="s">
        <v>16</v>
      </c>
      <c r="L274" t="s">
        <v>24</v>
      </c>
    </row>
    <row r="275" spans="1:12" x14ac:dyDescent="0.3">
      <c r="A275" t="s">
        <v>677</v>
      </c>
      <c r="B275" t="s">
        <v>1364</v>
      </c>
      <c r="C275" t="s">
        <v>48</v>
      </c>
      <c r="D275">
        <v>56</v>
      </c>
      <c r="E275" t="s">
        <v>1603</v>
      </c>
      <c r="F275" t="s">
        <v>22</v>
      </c>
      <c r="G275">
        <v>438601</v>
      </c>
      <c r="H275">
        <v>150939</v>
      </c>
      <c r="I275">
        <v>21949</v>
      </c>
      <c r="J275" t="s">
        <v>1601</v>
      </c>
      <c r="K275" t="s">
        <v>16</v>
      </c>
      <c r="L275" t="s">
        <v>17</v>
      </c>
    </row>
    <row r="276" spans="1:12" x14ac:dyDescent="0.3">
      <c r="A276" t="s">
        <v>678</v>
      </c>
      <c r="B276" t="s">
        <v>1365</v>
      </c>
      <c r="C276" t="s">
        <v>14</v>
      </c>
      <c r="D276">
        <v>55</v>
      </c>
      <c r="E276" t="s">
        <v>1603</v>
      </c>
      <c r="F276" t="s">
        <v>59</v>
      </c>
      <c r="G276">
        <v>324788</v>
      </c>
      <c r="H276">
        <v>147091.55559999999</v>
      </c>
      <c r="I276">
        <v>93677</v>
      </c>
      <c r="J276" t="s">
        <v>1599</v>
      </c>
      <c r="K276" t="s">
        <v>23</v>
      </c>
      <c r="L276" t="s">
        <v>17</v>
      </c>
    </row>
    <row r="277" spans="1:12" x14ac:dyDescent="0.3">
      <c r="A277" t="s">
        <v>680</v>
      </c>
      <c r="B277" t="s">
        <v>1366</v>
      </c>
      <c r="C277" t="s">
        <v>58</v>
      </c>
      <c r="D277">
        <v>29</v>
      </c>
      <c r="E277" t="s">
        <v>13</v>
      </c>
      <c r="F277" t="s">
        <v>22</v>
      </c>
      <c r="G277">
        <v>175719</v>
      </c>
      <c r="H277">
        <v>221918.5833</v>
      </c>
      <c r="I277">
        <v>60758</v>
      </c>
      <c r="J277" t="s">
        <v>1599</v>
      </c>
      <c r="K277" t="s">
        <v>23</v>
      </c>
      <c r="L277" t="s">
        <v>24</v>
      </c>
    </row>
    <row r="278" spans="1:12" x14ac:dyDescent="0.3">
      <c r="A278" t="s">
        <v>683</v>
      </c>
      <c r="B278" t="s">
        <v>1367</v>
      </c>
      <c r="C278" t="s">
        <v>21</v>
      </c>
      <c r="D278">
        <v>36</v>
      </c>
      <c r="E278" t="s">
        <v>1604</v>
      </c>
      <c r="F278" t="s">
        <v>22</v>
      </c>
      <c r="G278">
        <v>309930</v>
      </c>
      <c r="H278">
        <v>7258</v>
      </c>
      <c r="I278">
        <v>63114</v>
      </c>
      <c r="J278" t="s">
        <v>1599</v>
      </c>
      <c r="K278" t="s">
        <v>23</v>
      </c>
      <c r="L278" t="s">
        <v>24</v>
      </c>
    </row>
    <row r="279" spans="1:12" x14ac:dyDescent="0.3">
      <c r="A279" t="s">
        <v>686</v>
      </c>
      <c r="B279" t="s">
        <v>1368</v>
      </c>
      <c r="C279" t="s">
        <v>44</v>
      </c>
      <c r="D279">
        <v>25</v>
      </c>
      <c r="E279" t="s">
        <v>13</v>
      </c>
      <c r="F279" t="s">
        <v>22</v>
      </c>
      <c r="G279">
        <v>147276</v>
      </c>
      <c r="H279">
        <v>236753</v>
      </c>
      <c r="I279">
        <v>73692</v>
      </c>
      <c r="J279" t="s">
        <v>1599</v>
      </c>
      <c r="K279" t="s">
        <v>16</v>
      </c>
      <c r="L279" t="s">
        <v>17</v>
      </c>
    </row>
    <row r="280" spans="1:12" x14ac:dyDescent="0.3">
      <c r="A280" t="s">
        <v>688</v>
      </c>
      <c r="B280" t="s">
        <v>1369</v>
      </c>
      <c r="C280" t="s">
        <v>58</v>
      </c>
      <c r="D280">
        <v>24</v>
      </c>
      <c r="E280" t="s">
        <v>13</v>
      </c>
      <c r="F280" t="s">
        <v>22</v>
      </c>
      <c r="G280">
        <v>240261</v>
      </c>
      <c r="H280">
        <v>138634.6923</v>
      </c>
      <c r="I280">
        <v>116997</v>
      </c>
      <c r="J280" t="s">
        <v>1600</v>
      </c>
      <c r="K280" t="s">
        <v>23</v>
      </c>
      <c r="L280" t="s">
        <v>24</v>
      </c>
    </row>
    <row r="281" spans="1:12" x14ac:dyDescent="0.3">
      <c r="A281" t="s">
        <v>691</v>
      </c>
      <c r="B281" t="s">
        <v>1370</v>
      </c>
      <c r="C281" t="s">
        <v>14</v>
      </c>
      <c r="D281">
        <v>46</v>
      </c>
      <c r="E281" t="s">
        <v>1604</v>
      </c>
      <c r="F281" t="s">
        <v>59</v>
      </c>
      <c r="G281">
        <v>252076.5122</v>
      </c>
      <c r="H281">
        <v>120478</v>
      </c>
      <c r="I281">
        <v>69931</v>
      </c>
      <c r="J281" t="s">
        <v>1599</v>
      </c>
      <c r="K281" t="s">
        <v>23</v>
      </c>
      <c r="L281" t="s">
        <v>24</v>
      </c>
    </row>
    <row r="282" spans="1:12" x14ac:dyDescent="0.3">
      <c r="A282" t="s">
        <v>692</v>
      </c>
      <c r="B282" t="s">
        <v>1371</v>
      </c>
      <c r="C282" t="s">
        <v>14</v>
      </c>
      <c r="D282">
        <v>49</v>
      </c>
      <c r="E282" t="s">
        <v>1604</v>
      </c>
      <c r="F282" t="s">
        <v>22</v>
      </c>
      <c r="G282">
        <v>375152</v>
      </c>
      <c r="H282">
        <v>52031</v>
      </c>
      <c r="I282">
        <v>37560</v>
      </c>
      <c r="J282" t="s">
        <v>1601</v>
      </c>
      <c r="K282" t="s">
        <v>23</v>
      </c>
      <c r="L282" t="s">
        <v>24</v>
      </c>
    </row>
    <row r="283" spans="1:12" x14ac:dyDescent="0.3">
      <c r="A283" t="s">
        <v>693</v>
      </c>
      <c r="B283" t="s">
        <v>1372</v>
      </c>
      <c r="C283" t="s">
        <v>44</v>
      </c>
      <c r="D283">
        <v>33</v>
      </c>
      <c r="E283" t="s">
        <v>1604</v>
      </c>
      <c r="F283" t="s">
        <v>59</v>
      </c>
      <c r="G283">
        <v>151168</v>
      </c>
      <c r="H283">
        <v>156800.92310000001</v>
      </c>
      <c r="I283">
        <v>44654</v>
      </c>
      <c r="J283" t="s">
        <v>1601</v>
      </c>
      <c r="K283" t="s">
        <v>33</v>
      </c>
      <c r="L283" t="s">
        <v>24</v>
      </c>
    </row>
    <row r="284" spans="1:12" x14ac:dyDescent="0.3">
      <c r="A284" t="s">
        <v>694</v>
      </c>
      <c r="B284" t="s">
        <v>1373</v>
      </c>
      <c r="C284" t="s">
        <v>21</v>
      </c>
      <c r="D284">
        <v>53</v>
      </c>
      <c r="E284" t="s">
        <v>1603</v>
      </c>
      <c r="F284" t="s">
        <v>22</v>
      </c>
      <c r="G284">
        <v>217784</v>
      </c>
      <c r="H284">
        <v>134964.8333</v>
      </c>
      <c r="I284">
        <v>42272</v>
      </c>
      <c r="J284" t="s">
        <v>1601</v>
      </c>
      <c r="K284" t="s">
        <v>16</v>
      </c>
      <c r="L284" t="s">
        <v>24</v>
      </c>
    </row>
    <row r="285" spans="1:12" x14ac:dyDescent="0.3">
      <c r="A285" t="s">
        <v>695</v>
      </c>
      <c r="B285" t="s">
        <v>1374</v>
      </c>
      <c r="C285" t="s">
        <v>44</v>
      </c>
      <c r="D285">
        <v>56</v>
      </c>
      <c r="E285" t="s">
        <v>1603</v>
      </c>
      <c r="F285" t="s">
        <v>59</v>
      </c>
      <c r="G285">
        <v>252076.5122</v>
      </c>
      <c r="H285">
        <v>75127</v>
      </c>
      <c r="I285">
        <v>22604</v>
      </c>
      <c r="J285" t="s">
        <v>1601</v>
      </c>
      <c r="K285" t="s">
        <v>16</v>
      </c>
      <c r="L285" t="s">
        <v>24</v>
      </c>
    </row>
    <row r="286" spans="1:12" x14ac:dyDescent="0.3">
      <c r="A286" t="s">
        <v>697</v>
      </c>
      <c r="B286" t="s">
        <v>1375</v>
      </c>
      <c r="C286" t="s">
        <v>21</v>
      </c>
      <c r="D286">
        <v>57</v>
      </c>
      <c r="E286" t="s">
        <v>1603</v>
      </c>
      <c r="F286" t="s">
        <v>59</v>
      </c>
      <c r="G286">
        <v>185466</v>
      </c>
      <c r="H286">
        <v>152416.23079999999</v>
      </c>
      <c r="I286">
        <v>11672</v>
      </c>
      <c r="J286" t="s">
        <v>1601</v>
      </c>
      <c r="K286" t="s">
        <v>23</v>
      </c>
      <c r="L286" t="s">
        <v>17</v>
      </c>
    </row>
    <row r="287" spans="1:12" x14ac:dyDescent="0.3">
      <c r="A287" t="s">
        <v>699</v>
      </c>
      <c r="B287" t="s">
        <v>1376</v>
      </c>
      <c r="C287" t="s">
        <v>14</v>
      </c>
      <c r="D287">
        <v>57</v>
      </c>
      <c r="E287" t="s">
        <v>1603</v>
      </c>
      <c r="F287" t="s">
        <v>59</v>
      </c>
      <c r="G287">
        <v>248370</v>
      </c>
      <c r="H287">
        <v>152416.23079999999</v>
      </c>
      <c r="I287">
        <v>85731</v>
      </c>
      <c r="J287" t="s">
        <v>1599</v>
      </c>
      <c r="K287" t="s">
        <v>16</v>
      </c>
      <c r="L287" t="s">
        <v>24</v>
      </c>
    </row>
    <row r="288" spans="1:12" x14ac:dyDescent="0.3">
      <c r="A288" t="s">
        <v>701</v>
      </c>
      <c r="B288" t="s">
        <v>1377</v>
      </c>
      <c r="C288" t="s">
        <v>21</v>
      </c>
      <c r="D288">
        <v>28</v>
      </c>
      <c r="E288" t="s">
        <v>13</v>
      </c>
      <c r="F288" t="s">
        <v>22</v>
      </c>
      <c r="G288">
        <v>252076.5122</v>
      </c>
      <c r="H288">
        <v>13072</v>
      </c>
      <c r="I288">
        <v>85152</v>
      </c>
      <c r="J288" t="s">
        <v>1599</v>
      </c>
      <c r="K288" t="s">
        <v>33</v>
      </c>
      <c r="L288" t="s">
        <v>17</v>
      </c>
    </row>
    <row r="289" spans="1:12" x14ac:dyDescent="0.3">
      <c r="A289" t="s">
        <v>702</v>
      </c>
      <c r="B289" t="s">
        <v>1378</v>
      </c>
      <c r="C289" t="s">
        <v>58</v>
      </c>
      <c r="D289">
        <v>24</v>
      </c>
      <c r="E289" t="s">
        <v>13</v>
      </c>
      <c r="F289" t="s">
        <v>22</v>
      </c>
      <c r="G289">
        <v>312844</v>
      </c>
      <c r="H289">
        <v>199971</v>
      </c>
      <c r="I289">
        <v>118458</v>
      </c>
      <c r="J289" t="s">
        <v>1600</v>
      </c>
      <c r="K289" t="s">
        <v>33</v>
      </c>
      <c r="L289" t="s">
        <v>17</v>
      </c>
    </row>
    <row r="290" spans="1:12" x14ac:dyDescent="0.3">
      <c r="A290" t="s">
        <v>704</v>
      </c>
      <c r="B290" t="s">
        <v>1379</v>
      </c>
      <c r="C290" t="s">
        <v>48</v>
      </c>
      <c r="D290">
        <v>49</v>
      </c>
      <c r="E290" t="s">
        <v>1604</v>
      </c>
      <c r="F290" t="s">
        <v>59</v>
      </c>
      <c r="G290">
        <v>376953</v>
      </c>
      <c r="H290">
        <v>94341</v>
      </c>
      <c r="I290">
        <v>17170</v>
      </c>
      <c r="J290" t="s">
        <v>1601</v>
      </c>
      <c r="K290" t="s">
        <v>16</v>
      </c>
      <c r="L290" t="s">
        <v>24</v>
      </c>
    </row>
    <row r="291" spans="1:12" x14ac:dyDescent="0.3">
      <c r="A291" t="s">
        <v>706</v>
      </c>
      <c r="B291" t="s">
        <v>1380</v>
      </c>
      <c r="C291" t="s">
        <v>48</v>
      </c>
      <c r="D291">
        <v>47</v>
      </c>
      <c r="E291" t="s">
        <v>1604</v>
      </c>
      <c r="F291" t="s">
        <v>22</v>
      </c>
      <c r="G291">
        <v>453324</v>
      </c>
      <c r="H291">
        <v>230328</v>
      </c>
      <c r="I291">
        <v>142772</v>
      </c>
      <c r="J291" t="s">
        <v>1600</v>
      </c>
      <c r="K291" t="s">
        <v>23</v>
      </c>
      <c r="L291" t="s">
        <v>24</v>
      </c>
    </row>
    <row r="292" spans="1:12" x14ac:dyDescent="0.3">
      <c r="A292" t="s">
        <v>708</v>
      </c>
      <c r="B292" t="s">
        <v>1381</v>
      </c>
      <c r="C292" t="s">
        <v>44</v>
      </c>
      <c r="D292">
        <v>56</v>
      </c>
      <c r="E292" t="s">
        <v>1603</v>
      </c>
      <c r="F292" t="s">
        <v>22</v>
      </c>
      <c r="G292">
        <v>305353</v>
      </c>
      <c r="H292">
        <v>44907</v>
      </c>
      <c r="I292">
        <v>66591</v>
      </c>
      <c r="J292" t="s">
        <v>1599</v>
      </c>
      <c r="K292" t="s">
        <v>16</v>
      </c>
      <c r="L292" t="s">
        <v>17</v>
      </c>
    </row>
    <row r="293" spans="1:12" x14ac:dyDescent="0.3">
      <c r="A293" t="s">
        <v>710</v>
      </c>
      <c r="B293" t="s">
        <v>1382</v>
      </c>
      <c r="C293" t="s">
        <v>48</v>
      </c>
      <c r="D293">
        <v>25</v>
      </c>
      <c r="E293" t="s">
        <v>13</v>
      </c>
      <c r="F293" t="s">
        <v>1590</v>
      </c>
      <c r="G293">
        <v>36302</v>
      </c>
      <c r="H293">
        <v>118953</v>
      </c>
      <c r="I293">
        <v>23718</v>
      </c>
      <c r="J293" t="s">
        <v>1601</v>
      </c>
      <c r="K293" t="s">
        <v>23</v>
      </c>
      <c r="L293" t="s">
        <v>17</v>
      </c>
    </row>
    <row r="294" spans="1:12" x14ac:dyDescent="0.3">
      <c r="A294" t="s">
        <v>711</v>
      </c>
      <c r="B294" t="s">
        <v>1383</v>
      </c>
      <c r="C294" t="s">
        <v>21</v>
      </c>
      <c r="D294">
        <v>25</v>
      </c>
      <c r="E294" t="s">
        <v>13</v>
      </c>
      <c r="F294" t="s">
        <v>59</v>
      </c>
      <c r="G294">
        <v>490291</v>
      </c>
      <c r="H294">
        <v>199503</v>
      </c>
      <c r="I294">
        <v>93843</v>
      </c>
      <c r="J294" t="s">
        <v>1599</v>
      </c>
      <c r="K294" t="s">
        <v>16</v>
      </c>
      <c r="L294" t="s">
        <v>24</v>
      </c>
    </row>
    <row r="295" spans="1:12" x14ac:dyDescent="0.3">
      <c r="A295" t="s">
        <v>712</v>
      </c>
      <c r="B295" t="s">
        <v>1384</v>
      </c>
      <c r="C295" t="s">
        <v>14</v>
      </c>
      <c r="D295">
        <v>21</v>
      </c>
      <c r="E295" t="s">
        <v>13</v>
      </c>
      <c r="F295" t="s">
        <v>22</v>
      </c>
      <c r="G295">
        <v>458301</v>
      </c>
      <c r="H295">
        <v>3017</v>
      </c>
      <c r="I295">
        <v>69782</v>
      </c>
      <c r="J295" t="s">
        <v>1599</v>
      </c>
      <c r="K295" t="s">
        <v>16</v>
      </c>
      <c r="L295" t="s">
        <v>17</v>
      </c>
    </row>
    <row r="296" spans="1:12" x14ac:dyDescent="0.3">
      <c r="A296" t="s">
        <v>715</v>
      </c>
      <c r="B296" t="s">
        <v>1385</v>
      </c>
      <c r="C296" t="s">
        <v>58</v>
      </c>
      <c r="D296">
        <v>31</v>
      </c>
      <c r="E296" t="s">
        <v>1604</v>
      </c>
      <c r="F296" t="s">
        <v>22</v>
      </c>
      <c r="G296">
        <v>165946</v>
      </c>
      <c r="H296">
        <v>246730</v>
      </c>
      <c r="I296">
        <v>87788</v>
      </c>
      <c r="J296" t="s">
        <v>1599</v>
      </c>
      <c r="K296" t="s">
        <v>23</v>
      </c>
      <c r="L296" t="s">
        <v>17</v>
      </c>
    </row>
    <row r="297" spans="1:12" x14ac:dyDescent="0.3">
      <c r="A297" t="s">
        <v>717</v>
      </c>
      <c r="B297" t="s">
        <v>1386</v>
      </c>
      <c r="C297" t="s">
        <v>21</v>
      </c>
      <c r="D297">
        <v>31</v>
      </c>
      <c r="E297" t="s">
        <v>1604</v>
      </c>
      <c r="F297" t="s">
        <v>22</v>
      </c>
      <c r="G297">
        <v>222749</v>
      </c>
      <c r="H297">
        <v>52686</v>
      </c>
      <c r="I297">
        <v>132427</v>
      </c>
      <c r="J297" t="s">
        <v>1600</v>
      </c>
      <c r="K297" t="s">
        <v>16</v>
      </c>
      <c r="L297" t="s">
        <v>24</v>
      </c>
    </row>
    <row r="298" spans="1:12" x14ac:dyDescent="0.3">
      <c r="A298" t="s">
        <v>718</v>
      </c>
      <c r="B298" t="s">
        <v>1387</v>
      </c>
      <c r="C298" t="s">
        <v>21</v>
      </c>
      <c r="D298">
        <v>49</v>
      </c>
      <c r="E298" t="s">
        <v>1604</v>
      </c>
      <c r="F298" t="s">
        <v>59</v>
      </c>
      <c r="G298">
        <v>345725</v>
      </c>
      <c r="H298">
        <v>112694</v>
      </c>
      <c r="I298">
        <v>28135</v>
      </c>
      <c r="J298" t="s">
        <v>1601</v>
      </c>
      <c r="K298" t="s">
        <v>33</v>
      </c>
      <c r="L298" t="s">
        <v>24</v>
      </c>
    </row>
    <row r="299" spans="1:12" x14ac:dyDescent="0.3">
      <c r="A299" t="s">
        <v>720</v>
      </c>
      <c r="B299" t="s">
        <v>1388</v>
      </c>
      <c r="C299" t="s">
        <v>58</v>
      </c>
      <c r="D299">
        <v>48</v>
      </c>
      <c r="E299" t="s">
        <v>1604</v>
      </c>
      <c r="F299" t="s">
        <v>22</v>
      </c>
      <c r="G299">
        <v>252076.5122</v>
      </c>
      <c r="H299">
        <v>263971</v>
      </c>
      <c r="I299">
        <v>28575</v>
      </c>
      <c r="J299" t="s">
        <v>1601</v>
      </c>
      <c r="K299" t="s">
        <v>33</v>
      </c>
      <c r="L299" t="s">
        <v>17</v>
      </c>
    </row>
    <row r="300" spans="1:12" x14ac:dyDescent="0.3">
      <c r="A300" t="s">
        <v>721</v>
      </c>
      <c r="B300" t="s">
        <v>1389</v>
      </c>
      <c r="C300" t="s">
        <v>14</v>
      </c>
      <c r="D300">
        <v>46</v>
      </c>
      <c r="E300" t="s">
        <v>1604</v>
      </c>
      <c r="F300" t="s">
        <v>59</v>
      </c>
      <c r="G300">
        <v>183901</v>
      </c>
      <c r="H300">
        <v>177542</v>
      </c>
      <c r="I300">
        <v>95568</v>
      </c>
      <c r="J300" t="s">
        <v>1599</v>
      </c>
      <c r="K300" t="s">
        <v>23</v>
      </c>
      <c r="L300" t="s">
        <v>24</v>
      </c>
    </row>
    <row r="301" spans="1:12" x14ac:dyDescent="0.3">
      <c r="A301" t="s">
        <v>723</v>
      </c>
      <c r="B301" t="s">
        <v>1390</v>
      </c>
      <c r="C301" t="s">
        <v>48</v>
      </c>
      <c r="D301">
        <v>53</v>
      </c>
      <c r="E301" t="s">
        <v>1603</v>
      </c>
      <c r="F301" t="s">
        <v>22</v>
      </c>
      <c r="G301">
        <v>403540</v>
      </c>
      <c r="H301">
        <v>204089</v>
      </c>
      <c r="I301">
        <v>129090</v>
      </c>
      <c r="J301" t="s">
        <v>1600</v>
      </c>
      <c r="K301" t="s">
        <v>23</v>
      </c>
      <c r="L301" t="s">
        <v>17</v>
      </c>
    </row>
    <row r="302" spans="1:12" x14ac:dyDescent="0.3">
      <c r="A302" t="s">
        <v>726</v>
      </c>
      <c r="B302" t="s">
        <v>1391</v>
      </c>
      <c r="C302" t="s">
        <v>44</v>
      </c>
      <c r="D302">
        <v>38</v>
      </c>
      <c r="E302" t="s">
        <v>1604</v>
      </c>
      <c r="F302" t="s">
        <v>59</v>
      </c>
      <c r="G302">
        <v>252076.5122</v>
      </c>
      <c r="H302">
        <v>135637</v>
      </c>
      <c r="I302">
        <v>70852</v>
      </c>
      <c r="J302" t="s">
        <v>1599</v>
      </c>
      <c r="K302" t="s">
        <v>33</v>
      </c>
      <c r="L302" t="s">
        <v>17</v>
      </c>
    </row>
    <row r="303" spans="1:12" x14ac:dyDescent="0.3">
      <c r="A303" t="s">
        <v>728</v>
      </c>
      <c r="B303" t="s">
        <v>1392</v>
      </c>
      <c r="C303" t="s">
        <v>44</v>
      </c>
      <c r="D303">
        <v>50</v>
      </c>
      <c r="E303" t="s">
        <v>1604</v>
      </c>
      <c r="F303" t="s">
        <v>1590</v>
      </c>
      <c r="G303">
        <v>398645</v>
      </c>
      <c r="H303">
        <v>8577</v>
      </c>
      <c r="I303">
        <v>23013</v>
      </c>
      <c r="J303" t="s">
        <v>1601</v>
      </c>
      <c r="K303" t="s">
        <v>23</v>
      </c>
      <c r="L303" t="s">
        <v>17</v>
      </c>
    </row>
    <row r="304" spans="1:12" x14ac:dyDescent="0.3">
      <c r="A304" t="s">
        <v>730</v>
      </c>
      <c r="B304" t="s">
        <v>1393</v>
      </c>
      <c r="C304" t="s">
        <v>21</v>
      </c>
      <c r="D304">
        <v>30</v>
      </c>
      <c r="E304" t="s">
        <v>13</v>
      </c>
      <c r="F304" t="s">
        <v>1590</v>
      </c>
      <c r="G304">
        <v>306261</v>
      </c>
      <c r="H304">
        <v>269798</v>
      </c>
      <c r="I304">
        <v>80635</v>
      </c>
      <c r="J304" t="s">
        <v>1599</v>
      </c>
      <c r="K304" t="s">
        <v>23</v>
      </c>
      <c r="L304" t="s">
        <v>24</v>
      </c>
    </row>
    <row r="305" spans="1:12" x14ac:dyDescent="0.3">
      <c r="A305" t="s">
        <v>731</v>
      </c>
      <c r="B305" t="s">
        <v>1394</v>
      </c>
      <c r="C305" t="s">
        <v>48</v>
      </c>
      <c r="D305">
        <v>57</v>
      </c>
      <c r="E305" t="s">
        <v>1603</v>
      </c>
      <c r="F305" t="s">
        <v>22</v>
      </c>
      <c r="G305">
        <v>272810</v>
      </c>
      <c r="H305">
        <v>224390</v>
      </c>
      <c r="I305">
        <v>54434</v>
      </c>
      <c r="J305" t="s">
        <v>1599</v>
      </c>
      <c r="K305" t="s">
        <v>23</v>
      </c>
      <c r="L305" t="s">
        <v>17</v>
      </c>
    </row>
    <row r="306" spans="1:12" x14ac:dyDescent="0.3">
      <c r="A306" t="s">
        <v>733</v>
      </c>
      <c r="B306" t="s">
        <v>1395</v>
      </c>
      <c r="C306" t="s">
        <v>48</v>
      </c>
      <c r="D306">
        <v>44</v>
      </c>
      <c r="E306" t="s">
        <v>1604</v>
      </c>
      <c r="F306" t="s">
        <v>59</v>
      </c>
      <c r="G306">
        <v>312807</v>
      </c>
      <c r="H306">
        <v>192625</v>
      </c>
      <c r="I306">
        <v>82424</v>
      </c>
      <c r="J306" t="s">
        <v>1599</v>
      </c>
      <c r="K306" t="s">
        <v>33</v>
      </c>
      <c r="L306" t="s">
        <v>17</v>
      </c>
    </row>
    <row r="307" spans="1:12" x14ac:dyDescent="0.3">
      <c r="A307" t="s">
        <v>735</v>
      </c>
      <c r="B307" t="s">
        <v>1396</v>
      </c>
      <c r="C307" t="s">
        <v>48</v>
      </c>
      <c r="D307">
        <v>27</v>
      </c>
      <c r="E307" t="s">
        <v>13</v>
      </c>
      <c r="F307" t="s">
        <v>22</v>
      </c>
      <c r="G307">
        <v>251648</v>
      </c>
      <c r="H307">
        <v>103172</v>
      </c>
      <c r="I307">
        <v>26129</v>
      </c>
      <c r="J307" t="s">
        <v>1601</v>
      </c>
      <c r="K307" t="s">
        <v>33</v>
      </c>
      <c r="L307" t="s">
        <v>24</v>
      </c>
    </row>
    <row r="308" spans="1:12" x14ac:dyDescent="0.3">
      <c r="A308" t="s">
        <v>736</v>
      </c>
      <c r="B308" t="s">
        <v>1397</v>
      </c>
      <c r="C308" t="s">
        <v>58</v>
      </c>
      <c r="D308">
        <v>27</v>
      </c>
      <c r="E308" t="s">
        <v>13</v>
      </c>
      <c r="F308" t="s">
        <v>59</v>
      </c>
      <c r="G308">
        <v>67974</v>
      </c>
      <c r="H308">
        <v>87618</v>
      </c>
      <c r="I308">
        <v>44357</v>
      </c>
      <c r="J308" t="s">
        <v>1601</v>
      </c>
      <c r="K308" t="s">
        <v>23</v>
      </c>
      <c r="L308" t="s">
        <v>17</v>
      </c>
    </row>
    <row r="309" spans="1:12" x14ac:dyDescent="0.3">
      <c r="A309" t="s">
        <v>739</v>
      </c>
      <c r="B309" t="s">
        <v>1398</v>
      </c>
      <c r="C309" t="s">
        <v>48</v>
      </c>
      <c r="D309">
        <v>22</v>
      </c>
      <c r="E309" t="s">
        <v>13</v>
      </c>
      <c r="F309" t="s">
        <v>59</v>
      </c>
      <c r="G309">
        <v>485485</v>
      </c>
      <c r="H309">
        <v>18784</v>
      </c>
      <c r="I309">
        <v>93813</v>
      </c>
      <c r="J309" t="s">
        <v>1599</v>
      </c>
      <c r="K309" t="s">
        <v>16</v>
      </c>
      <c r="L309" t="s">
        <v>24</v>
      </c>
    </row>
    <row r="310" spans="1:12" x14ac:dyDescent="0.3">
      <c r="A310" t="s">
        <v>741</v>
      </c>
      <c r="B310" t="s">
        <v>1399</v>
      </c>
      <c r="C310" t="s">
        <v>58</v>
      </c>
      <c r="D310">
        <v>54</v>
      </c>
      <c r="E310" t="s">
        <v>1603</v>
      </c>
      <c r="F310" t="s">
        <v>59</v>
      </c>
      <c r="G310">
        <v>109958</v>
      </c>
      <c r="H310">
        <v>107125</v>
      </c>
      <c r="I310">
        <v>127145</v>
      </c>
      <c r="J310" t="s">
        <v>1600</v>
      </c>
      <c r="K310" t="s">
        <v>16</v>
      </c>
      <c r="L310" t="s">
        <v>24</v>
      </c>
    </row>
    <row r="311" spans="1:12" x14ac:dyDescent="0.3">
      <c r="A311" t="s">
        <v>744</v>
      </c>
      <c r="B311" t="s">
        <v>1400</v>
      </c>
      <c r="C311" t="s">
        <v>14</v>
      </c>
      <c r="D311">
        <v>43</v>
      </c>
      <c r="E311" t="s">
        <v>1604</v>
      </c>
      <c r="F311" t="s">
        <v>1590</v>
      </c>
      <c r="G311">
        <v>278282</v>
      </c>
      <c r="H311">
        <v>29959</v>
      </c>
      <c r="I311">
        <v>142328</v>
      </c>
      <c r="J311" t="s">
        <v>1600</v>
      </c>
      <c r="K311" t="s">
        <v>16</v>
      </c>
      <c r="L311" t="s">
        <v>17</v>
      </c>
    </row>
    <row r="312" spans="1:12" x14ac:dyDescent="0.3">
      <c r="A312" t="s">
        <v>746</v>
      </c>
      <c r="B312" t="s">
        <v>1401</v>
      </c>
      <c r="C312" t="s">
        <v>14</v>
      </c>
      <c r="D312">
        <v>50</v>
      </c>
      <c r="E312" t="s">
        <v>1604</v>
      </c>
      <c r="F312" t="s">
        <v>59</v>
      </c>
      <c r="G312">
        <v>355771</v>
      </c>
      <c r="H312">
        <v>142039</v>
      </c>
      <c r="I312">
        <v>41859</v>
      </c>
      <c r="J312" t="s">
        <v>1601</v>
      </c>
      <c r="K312" t="s">
        <v>33</v>
      </c>
      <c r="L312" t="s">
        <v>17</v>
      </c>
    </row>
    <row r="313" spans="1:12" x14ac:dyDescent="0.3">
      <c r="A313" t="s">
        <v>747</v>
      </c>
      <c r="B313" t="s">
        <v>1402</v>
      </c>
      <c r="C313" t="s">
        <v>48</v>
      </c>
      <c r="D313">
        <v>57</v>
      </c>
      <c r="E313" t="s">
        <v>1603</v>
      </c>
      <c r="F313" t="s">
        <v>1590</v>
      </c>
      <c r="G313">
        <v>45970</v>
      </c>
      <c r="H313">
        <v>128766</v>
      </c>
      <c r="I313">
        <v>125001</v>
      </c>
      <c r="J313" t="s">
        <v>1600</v>
      </c>
      <c r="K313" t="s">
        <v>33</v>
      </c>
      <c r="L313" t="s">
        <v>17</v>
      </c>
    </row>
    <row r="314" spans="1:12" x14ac:dyDescent="0.3">
      <c r="A314" t="s">
        <v>749</v>
      </c>
      <c r="B314" t="s">
        <v>1403</v>
      </c>
      <c r="C314" t="s">
        <v>44</v>
      </c>
      <c r="D314">
        <v>48</v>
      </c>
      <c r="E314" t="s">
        <v>1604</v>
      </c>
      <c r="F314" t="s">
        <v>1590</v>
      </c>
      <c r="G314">
        <v>252076.5122</v>
      </c>
      <c r="H314">
        <v>206990</v>
      </c>
      <c r="I314">
        <v>54111</v>
      </c>
      <c r="J314" t="s">
        <v>1599</v>
      </c>
      <c r="K314" t="s">
        <v>23</v>
      </c>
      <c r="L314" t="s">
        <v>24</v>
      </c>
    </row>
    <row r="315" spans="1:12" x14ac:dyDescent="0.3">
      <c r="A315" t="s">
        <v>752</v>
      </c>
      <c r="B315" t="s">
        <v>1404</v>
      </c>
      <c r="C315" t="s">
        <v>21</v>
      </c>
      <c r="D315">
        <v>53</v>
      </c>
      <c r="E315" t="s">
        <v>1603</v>
      </c>
      <c r="F315" t="s">
        <v>59</v>
      </c>
      <c r="G315">
        <v>157820</v>
      </c>
      <c r="H315">
        <v>64024</v>
      </c>
      <c r="I315">
        <v>87134</v>
      </c>
      <c r="J315" t="s">
        <v>1599</v>
      </c>
      <c r="K315" t="s">
        <v>33</v>
      </c>
      <c r="L315" t="s">
        <v>17</v>
      </c>
    </row>
    <row r="316" spans="1:12" x14ac:dyDescent="0.3">
      <c r="A316" t="s">
        <v>754</v>
      </c>
      <c r="B316" t="s">
        <v>1405</v>
      </c>
      <c r="C316" t="s">
        <v>44</v>
      </c>
      <c r="D316">
        <v>26</v>
      </c>
      <c r="E316" t="s">
        <v>13</v>
      </c>
      <c r="F316" t="s">
        <v>1590</v>
      </c>
      <c r="G316">
        <v>176152</v>
      </c>
      <c r="H316">
        <v>295988</v>
      </c>
      <c r="I316">
        <v>99815</v>
      </c>
      <c r="J316" t="s">
        <v>1599</v>
      </c>
      <c r="K316" t="s">
        <v>16</v>
      </c>
      <c r="L316" t="s">
        <v>17</v>
      </c>
    </row>
    <row r="317" spans="1:12" x14ac:dyDescent="0.3">
      <c r="A317" t="s">
        <v>757</v>
      </c>
      <c r="B317" t="s">
        <v>1406</v>
      </c>
      <c r="C317" t="s">
        <v>21</v>
      </c>
      <c r="D317">
        <v>58</v>
      </c>
      <c r="E317" t="s">
        <v>1603</v>
      </c>
      <c r="F317" t="s">
        <v>22</v>
      </c>
      <c r="G317">
        <v>287850</v>
      </c>
      <c r="H317">
        <v>126707</v>
      </c>
      <c r="I317">
        <v>35430</v>
      </c>
      <c r="J317" t="s">
        <v>1601</v>
      </c>
      <c r="K317" t="s">
        <v>16</v>
      </c>
      <c r="L317" t="s">
        <v>17</v>
      </c>
    </row>
    <row r="318" spans="1:12" x14ac:dyDescent="0.3">
      <c r="A318" t="s">
        <v>759</v>
      </c>
      <c r="B318" t="s">
        <v>1407</v>
      </c>
      <c r="C318" t="s">
        <v>58</v>
      </c>
      <c r="D318">
        <v>50</v>
      </c>
      <c r="E318" t="s">
        <v>1604</v>
      </c>
      <c r="F318" t="s">
        <v>22</v>
      </c>
      <c r="G318">
        <v>252076.5122</v>
      </c>
      <c r="H318">
        <v>165647</v>
      </c>
      <c r="I318">
        <v>128389</v>
      </c>
      <c r="J318" t="s">
        <v>1600</v>
      </c>
      <c r="K318" t="s">
        <v>16</v>
      </c>
      <c r="L318" t="s">
        <v>24</v>
      </c>
    </row>
    <row r="319" spans="1:12" x14ac:dyDescent="0.3">
      <c r="A319" t="s">
        <v>762</v>
      </c>
      <c r="B319" t="s">
        <v>1408</v>
      </c>
      <c r="C319" t="s">
        <v>58</v>
      </c>
      <c r="D319">
        <v>50</v>
      </c>
      <c r="E319" t="s">
        <v>1604</v>
      </c>
      <c r="F319" t="s">
        <v>59</v>
      </c>
      <c r="G319">
        <v>77356</v>
      </c>
      <c r="H319">
        <v>224656</v>
      </c>
      <c r="I319">
        <v>39771</v>
      </c>
      <c r="J319" t="s">
        <v>1601</v>
      </c>
      <c r="K319" t="s">
        <v>23</v>
      </c>
      <c r="L319" t="s">
        <v>24</v>
      </c>
    </row>
    <row r="320" spans="1:12" x14ac:dyDescent="0.3">
      <c r="A320" t="s">
        <v>764</v>
      </c>
      <c r="B320" t="s">
        <v>1409</v>
      </c>
      <c r="C320" t="s">
        <v>48</v>
      </c>
      <c r="D320">
        <v>53</v>
      </c>
      <c r="E320" t="s">
        <v>1603</v>
      </c>
      <c r="F320" t="s">
        <v>22</v>
      </c>
      <c r="G320">
        <v>115703</v>
      </c>
      <c r="H320">
        <v>134964.8333</v>
      </c>
      <c r="I320">
        <v>33155</v>
      </c>
      <c r="J320" t="s">
        <v>1601</v>
      </c>
      <c r="K320" t="s">
        <v>33</v>
      </c>
      <c r="L320" t="s">
        <v>24</v>
      </c>
    </row>
    <row r="321" spans="1:12" x14ac:dyDescent="0.3">
      <c r="A321" t="s">
        <v>766</v>
      </c>
      <c r="B321" t="s">
        <v>1410</v>
      </c>
      <c r="C321" t="s">
        <v>21</v>
      </c>
      <c r="D321">
        <v>28</v>
      </c>
      <c r="E321" t="s">
        <v>13</v>
      </c>
      <c r="F321" t="s">
        <v>59</v>
      </c>
      <c r="G321">
        <v>119331</v>
      </c>
      <c r="H321">
        <v>53706</v>
      </c>
      <c r="I321">
        <v>112694</v>
      </c>
      <c r="J321" t="s">
        <v>1600</v>
      </c>
      <c r="K321" t="s">
        <v>16</v>
      </c>
      <c r="L321" t="s">
        <v>24</v>
      </c>
    </row>
    <row r="322" spans="1:12" x14ac:dyDescent="0.3">
      <c r="A322" t="s">
        <v>768</v>
      </c>
      <c r="B322" t="s">
        <v>1411</v>
      </c>
      <c r="C322" t="s">
        <v>14</v>
      </c>
      <c r="D322">
        <v>36</v>
      </c>
      <c r="E322" t="s">
        <v>1604</v>
      </c>
      <c r="F322" t="s">
        <v>22</v>
      </c>
      <c r="G322">
        <v>257047</v>
      </c>
      <c r="H322">
        <v>64877</v>
      </c>
      <c r="I322">
        <v>35938</v>
      </c>
      <c r="J322" t="s">
        <v>1601</v>
      </c>
      <c r="K322" t="s">
        <v>23</v>
      </c>
      <c r="L322" t="s">
        <v>24</v>
      </c>
    </row>
    <row r="323" spans="1:12" x14ac:dyDescent="0.3">
      <c r="A323" t="s">
        <v>769</v>
      </c>
      <c r="B323" t="s">
        <v>1412</v>
      </c>
      <c r="C323" t="s">
        <v>21</v>
      </c>
      <c r="D323">
        <v>28</v>
      </c>
      <c r="E323" t="s">
        <v>13</v>
      </c>
      <c r="F323" t="s">
        <v>59</v>
      </c>
      <c r="G323">
        <v>212599</v>
      </c>
      <c r="H323">
        <v>223891</v>
      </c>
      <c r="I323">
        <v>107628</v>
      </c>
      <c r="J323" t="s">
        <v>1600</v>
      </c>
      <c r="K323" t="s">
        <v>33</v>
      </c>
      <c r="L323" t="s">
        <v>17</v>
      </c>
    </row>
    <row r="324" spans="1:12" x14ac:dyDescent="0.3">
      <c r="A324" t="s">
        <v>771</v>
      </c>
      <c r="B324" t="s">
        <v>1413</v>
      </c>
      <c r="C324" t="s">
        <v>44</v>
      </c>
      <c r="D324">
        <v>39</v>
      </c>
      <c r="E324" t="s">
        <v>1604</v>
      </c>
      <c r="F324" t="s">
        <v>1590</v>
      </c>
      <c r="G324">
        <v>298336</v>
      </c>
      <c r="H324">
        <v>266155</v>
      </c>
      <c r="I324">
        <v>132740</v>
      </c>
      <c r="J324" t="s">
        <v>1600</v>
      </c>
      <c r="K324" t="s">
        <v>16</v>
      </c>
      <c r="L324" t="s">
        <v>17</v>
      </c>
    </row>
    <row r="325" spans="1:12" x14ac:dyDescent="0.3">
      <c r="A325" t="s">
        <v>772</v>
      </c>
      <c r="B325" t="s">
        <v>1414</v>
      </c>
      <c r="C325" t="s">
        <v>14</v>
      </c>
      <c r="D325">
        <v>41</v>
      </c>
      <c r="E325" t="s">
        <v>1604</v>
      </c>
      <c r="F325" t="s">
        <v>22</v>
      </c>
      <c r="G325">
        <v>297902</v>
      </c>
      <c r="H325">
        <v>118874</v>
      </c>
      <c r="I325">
        <v>125811</v>
      </c>
      <c r="J325" t="s">
        <v>1600</v>
      </c>
      <c r="K325" t="s">
        <v>23</v>
      </c>
      <c r="L325" t="s">
        <v>24</v>
      </c>
    </row>
    <row r="326" spans="1:12" x14ac:dyDescent="0.3">
      <c r="A326" t="s">
        <v>775</v>
      </c>
      <c r="B326" t="s">
        <v>1415</v>
      </c>
      <c r="C326" t="s">
        <v>14</v>
      </c>
      <c r="D326">
        <v>33</v>
      </c>
      <c r="E326" t="s">
        <v>1604</v>
      </c>
      <c r="F326" t="s">
        <v>22</v>
      </c>
      <c r="G326">
        <v>404473</v>
      </c>
      <c r="H326">
        <v>114030</v>
      </c>
      <c r="I326">
        <v>134260</v>
      </c>
      <c r="J326" t="s">
        <v>1600</v>
      </c>
      <c r="K326" t="s">
        <v>16</v>
      </c>
      <c r="L326" t="s">
        <v>17</v>
      </c>
    </row>
    <row r="327" spans="1:12" x14ac:dyDescent="0.3">
      <c r="A327" t="s">
        <v>776</v>
      </c>
      <c r="B327" t="s">
        <v>1416</v>
      </c>
      <c r="C327" t="s">
        <v>58</v>
      </c>
      <c r="D327">
        <v>26</v>
      </c>
      <c r="E327" t="s">
        <v>13</v>
      </c>
      <c r="F327" t="s">
        <v>59</v>
      </c>
      <c r="G327">
        <v>22755</v>
      </c>
      <c r="H327">
        <v>44105</v>
      </c>
      <c r="I327">
        <v>119698</v>
      </c>
      <c r="J327" t="s">
        <v>1600</v>
      </c>
      <c r="K327" t="s">
        <v>23</v>
      </c>
      <c r="L327" t="s">
        <v>17</v>
      </c>
    </row>
    <row r="328" spans="1:12" x14ac:dyDescent="0.3">
      <c r="A328" t="s">
        <v>777</v>
      </c>
      <c r="B328" t="s">
        <v>1417</v>
      </c>
      <c r="C328" t="s">
        <v>14</v>
      </c>
      <c r="D328">
        <v>50</v>
      </c>
      <c r="E328" t="s">
        <v>1604</v>
      </c>
      <c r="F328" t="s">
        <v>22</v>
      </c>
      <c r="G328">
        <v>252076.5122</v>
      </c>
      <c r="H328">
        <v>5313</v>
      </c>
      <c r="I328">
        <v>73994</v>
      </c>
      <c r="J328" t="s">
        <v>1599</v>
      </c>
      <c r="K328" t="s">
        <v>33</v>
      </c>
      <c r="L328" t="s">
        <v>17</v>
      </c>
    </row>
    <row r="329" spans="1:12" x14ac:dyDescent="0.3">
      <c r="A329" t="s">
        <v>779</v>
      </c>
      <c r="B329" t="s">
        <v>1418</v>
      </c>
      <c r="C329" t="s">
        <v>21</v>
      </c>
      <c r="D329">
        <v>28</v>
      </c>
      <c r="E329" t="s">
        <v>13</v>
      </c>
      <c r="F329" t="s">
        <v>22</v>
      </c>
      <c r="G329">
        <v>252076.5122</v>
      </c>
      <c r="H329">
        <v>42716</v>
      </c>
      <c r="I329">
        <v>124454</v>
      </c>
      <c r="J329" t="s">
        <v>1600</v>
      </c>
      <c r="K329" t="s">
        <v>23</v>
      </c>
      <c r="L329" t="s">
        <v>17</v>
      </c>
    </row>
    <row r="330" spans="1:12" x14ac:dyDescent="0.3">
      <c r="A330" t="s">
        <v>780</v>
      </c>
      <c r="B330" t="s">
        <v>1419</v>
      </c>
      <c r="C330" t="s">
        <v>21</v>
      </c>
      <c r="D330">
        <v>27</v>
      </c>
      <c r="E330" t="s">
        <v>13</v>
      </c>
      <c r="F330" t="s">
        <v>1590</v>
      </c>
      <c r="G330">
        <v>290084</v>
      </c>
      <c r="H330">
        <v>46043</v>
      </c>
      <c r="I330">
        <v>41016</v>
      </c>
      <c r="J330" t="s">
        <v>1601</v>
      </c>
      <c r="K330" t="s">
        <v>16</v>
      </c>
      <c r="L330" t="s">
        <v>24</v>
      </c>
    </row>
    <row r="331" spans="1:12" x14ac:dyDescent="0.3">
      <c r="A331" t="s">
        <v>781</v>
      </c>
      <c r="B331" t="s">
        <v>1420</v>
      </c>
      <c r="C331" t="s">
        <v>14</v>
      </c>
      <c r="D331">
        <v>46</v>
      </c>
      <c r="E331" t="s">
        <v>1604</v>
      </c>
      <c r="F331" t="s">
        <v>22</v>
      </c>
      <c r="G331">
        <v>170467</v>
      </c>
      <c r="H331">
        <v>135825</v>
      </c>
      <c r="I331">
        <v>109158</v>
      </c>
      <c r="J331" t="s">
        <v>1600</v>
      </c>
      <c r="K331" t="s">
        <v>33</v>
      </c>
      <c r="L331" t="s">
        <v>24</v>
      </c>
    </row>
    <row r="332" spans="1:12" x14ac:dyDescent="0.3">
      <c r="A332" t="s">
        <v>784</v>
      </c>
      <c r="B332" t="s">
        <v>1421</v>
      </c>
      <c r="C332" t="s">
        <v>48</v>
      </c>
      <c r="D332">
        <v>49</v>
      </c>
      <c r="E332" t="s">
        <v>1604</v>
      </c>
      <c r="F332" t="s">
        <v>1590</v>
      </c>
      <c r="G332">
        <v>204803</v>
      </c>
      <c r="H332">
        <v>32528</v>
      </c>
      <c r="I332">
        <v>63634</v>
      </c>
      <c r="J332" t="s">
        <v>1599</v>
      </c>
      <c r="K332" t="s">
        <v>23</v>
      </c>
      <c r="L332" t="s">
        <v>24</v>
      </c>
    </row>
    <row r="333" spans="1:12" x14ac:dyDescent="0.3">
      <c r="A333" t="s">
        <v>785</v>
      </c>
      <c r="B333" t="s">
        <v>1422</v>
      </c>
      <c r="C333" t="s">
        <v>14</v>
      </c>
      <c r="D333">
        <v>25</v>
      </c>
      <c r="E333" t="s">
        <v>13</v>
      </c>
      <c r="F333" t="s">
        <v>59</v>
      </c>
      <c r="G333">
        <v>80008</v>
      </c>
      <c r="H333">
        <v>277616</v>
      </c>
      <c r="I333">
        <v>147411</v>
      </c>
      <c r="J333" t="s">
        <v>1600</v>
      </c>
      <c r="K333" t="s">
        <v>16</v>
      </c>
      <c r="L333" t="s">
        <v>24</v>
      </c>
    </row>
    <row r="334" spans="1:12" x14ac:dyDescent="0.3">
      <c r="A334" t="s">
        <v>787</v>
      </c>
      <c r="B334" t="s">
        <v>1423</v>
      </c>
      <c r="C334" t="s">
        <v>44</v>
      </c>
      <c r="D334">
        <v>49</v>
      </c>
      <c r="E334" t="s">
        <v>1604</v>
      </c>
      <c r="F334" t="s">
        <v>59</v>
      </c>
      <c r="G334">
        <v>343663</v>
      </c>
      <c r="H334">
        <v>214206</v>
      </c>
      <c r="I334">
        <v>98557</v>
      </c>
      <c r="J334" t="s">
        <v>1599</v>
      </c>
      <c r="K334" t="s">
        <v>23</v>
      </c>
      <c r="L334" t="s">
        <v>17</v>
      </c>
    </row>
    <row r="335" spans="1:12" x14ac:dyDescent="0.3">
      <c r="A335" t="s">
        <v>790</v>
      </c>
      <c r="B335" t="s">
        <v>1424</v>
      </c>
      <c r="C335" t="s">
        <v>48</v>
      </c>
      <c r="D335">
        <v>35</v>
      </c>
      <c r="E335" t="s">
        <v>1604</v>
      </c>
      <c r="F335" t="s">
        <v>59</v>
      </c>
      <c r="G335">
        <v>9875</v>
      </c>
      <c r="H335">
        <v>172030</v>
      </c>
      <c r="I335">
        <v>52296</v>
      </c>
      <c r="J335" t="s">
        <v>1599</v>
      </c>
      <c r="K335" t="s">
        <v>16</v>
      </c>
      <c r="L335" t="s">
        <v>17</v>
      </c>
    </row>
    <row r="336" spans="1:12" x14ac:dyDescent="0.3">
      <c r="A336" t="s">
        <v>792</v>
      </c>
      <c r="B336" t="s">
        <v>1425</v>
      </c>
      <c r="C336" t="s">
        <v>44</v>
      </c>
      <c r="D336">
        <v>21</v>
      </c>
      <c r="E336" t="s">
        <v>13</v>
      </c>
      <c r="F336" t="s">
        <v>59</v>
      </c>
      <c r="G336">
        <v>252076.5122</v>
      </c>
      <c r="H336">
        <v>175040</v>
      </c>
      <c r="I336">
        <v>85623</v>
      </c>
      <c r="J336" t="s">
        <v>1599</v>
      </c>
      <c r="K336" t="s">
        <v>16</v>
      </c>
      <c r="L336" t="s">
        <v>17</v>
      </c>
    </row>
    <row r="337" spans="1:12" x14ac:dyDescent="0.3">
      <c r="A337" t="s">
        <v>795</v>
      </c>
      <c r="B337" t="s">
        <v>1426</v>
      </c>
      <c r="C337" t="s">
        <v>44</v>
      </c>
      <c r="D337">
        <v>45</v>
      </c>
      <c r="E337" t="s">
        <v>1604</v>
      </c>
      <c r="F337" t="s">
        <v>59</v>
      </c>
      <c r="G337">
        <v>498449</v>
      </c>
      <c r="H337">
        <v>8916</v>
      </c>
      <c r="I337">
        <v>16561</v>
      </c>
      <c r="J337" t="s">
        <v>1601</v>
      </c>
      <c r="K337" t="s">
        <v>23</v>
      </c>
      <c r="L337" t="s">
        <v>24</v>
      </c>
    </row>
    <row r="338" spans="1:12" x14ac:dyDescent="0.3">
      <c r="A338" t="s">
        <v>797</v>
      </c>
      <c r="B338" t="s">
        <v>1427</v>
      </c>
      <c r="C338" t="s">
        <v>58</v>
      </c>
      <c r="D338">
        <v>32</v>
      </c>
      <c r="E338" t="s">
        <v>1604</v>
      </c>
      <c r="F338" t="s">
        <v>59</v>
      </c>
      <c r="G338">
        <v>252076.5122</v>
      </c>
      <c r="H338">
        <v>17147</v>
      </c>
      <c r="I338">
        <v>126727</v>
      </c>
      <c r="J338" t="s">
        <v>1600</v>
      </c>
      <c r="K338" t="s">
        <v>16</v>
      </c>
      <c r="L338" t="s">
        <v>17</v>
      </c>
    </row>
    <row r="339" spans="1:12" x14ac:dyDescent="0.3">
      <c r="A339" t="s">
        <v>799</v>
      </c>
      <c r="B339" t="s">
        <v>1428</v>
      </c>
      <c r="C339" t="s">
        <v>44</v>
      </c>
      <c r="D339">
        <v>31</v>
      </c>
      <c r="E339" t="s">
        <v>1604</v>
      </c>
      <c r="F339" t="s">
        <v>59</v>
      </c>
      <c r="G339">
        <v>4732</v>
      </c>
      <c r="H339">
        <v>240273</v>
      </c>
      <c r="I339">
        <v>104443</v>
      </c>
      <c r="J339" t="s">
        <v>1600</v>
      </c>
      <c r="K339" t="s">
        <v>23</v>
      </c>
      <c r="L339" t="s">
        <v>17</v>
      </c>
    </row>
    <row r="340" spans="1:12" x14ac:dyDescent="0.3">
      <c r="A340" t="s">
        <v>802</v>
      </c>
      <c r="B340" t="s">
        <v>1429</v>
      </c>
      <c r="C340" t="s">
        <v>14</v>
      </c>
      <c r="D340">
        <v>24</v>
      </c>
      <c r="E340" t="s">
        <v>13</v>
      </c>
      <c r="F340" t="s">
        <v>59</v>
      </c>
      <c r="G340">
        <v>8059</v>
      </c>
      <c r="H340">
        <v>225947</v>
      </c>
      <c r="I340">
        <v>49929</v>
      </c>
      <c r="J340" t="s">
        <v>1601</v>
      </c>
      <c r="K340" t="s">
        <v>33</v>
      </c>
      <c r="L340" t="s">
        <v>17</v>
      </c>
    </row>
    <row r="341" spans="1:12" x14ac:dyDescent="0.3">
      <c r="A341" t="s">
        <v>804</v>
      </c>
      <c r="B341" t="s">
        <v>1430</v>
      </c>
      <c r="C341" t="s">
        <v>14</v>
      </c>
      <c r="D341">
        <v>59</v>
      </c>
      <c r="E341" t="s">
        <v>1603</v>
      </c>
      <c r="F341" t="s">
        <v>59</v>
      </c>
      <c r="G341">
        <v>172506</v>
      </c>
      <c r="H341">
        <v>16556</v>
      </c>
      <c r="I341">
        <v>122532</v>
      </c>
      <c r="J341" t="s">
        <v>1600</v>
      </c>
      <c r="K341" t="s">
        <v>16</v>
      </c>
      <c r="L341" t="s">
        <v>17</v>
      </c>
    </row>
    <row r="342" spans="1:12" x14ac:dyDescent="0.3">
      <c r="A342" t="s">
        <v>806</v>
      </c>
      <c r="B342" t="s">
        <v>1431</v>
      </c>
      <c r="C342" t="s">
        <v>44</v>
      </c>
      <c r="D342">
        <v>24</v>
      </c>
      <c r="E342" t="s">
        <v>13</v>
      </c>
      <c r="F342" t="s">
        <v>59</v>
      </c>
      <c r="G342">
        <v>378948</v>
      </c>
      <c r="H342">
        <v>170870</v>
      </c>
      <c r="I342">
        <v>61035</v>
      </c>
      <c r="J342" t="s">
        <v>1599</v>
      </c>
      <c r="K342" t="s">
        <v>33</v>
      </c>
      <c r="L342" t="s">
        <v>17</v>
      </c>
    </row>
    <row r="343" spans="1:12" x14ac:dyDescent="0.3">
      <c r="A343" t="s">
        <v>808</v>
      </c>
      <c r="B343" t="s">
        <v>1432</v>
      </c>
      <c r="C343" t="s">
        <v>48</v>
      </c>
      <c r="D343">
        <v>49</v>
      </c>
      <c r="E343" t="s">
        <v>1604</v>
      </c>
      <c r="F343" t="s">
        <v>1590</v>
      </c>
      <c r="G343">
        <v>41359</v>
      </c>
      <c r="H343">
        <v>85198</v>
      </c>
      <c r="I343">
        <v>70505</v>
      </c>
      <c r="J343" t="s">
        <v>1599</v>
      </c>
      <c r="K343" t="s">
        <v>16</v>
      </c>
      <c r="L343" t="s">
        <v>17</v>
      </c>
    </row>
    <row r="344" spans="1:12" x14ac:dyDescent="0.3">
      <c r="A344" t="s">
        <v>810</v>
      </c>
      <c r="B344" t="s">
        <v>1433</v>
      </c>
      <c r="C344" t="s">
        <v>44</v>
      </c>
      <c r="D344">
        <v>59</v>
      </c>
      <c r="E344" t="s">
        <v>1603</v>
      </c>
      <c r="F344" t="s">
        <v>59</v>
      </c>
      <c r="G344">
        <v>375375</v>
      </c>
      <c r="H344">
        <v>174756</v>
      </c>
      <c r="I344">
        <v>81729</v>
      </c>
      <c r="J344" t="s">
        <v>1599</v>
      </c>
      <c r="K344" t="s">
        <v>23</v>
      </c>
      <c r="L344" t="s">
        <v>17</v>
      </c>
    </row>
    <row r="345" spans="1:12" x14ac:dyDescent="0.3">
      <c r="A345" t="s">
        <v>812</v>
      </c>
      <c r="B345" t="s">
        <v>1434</v>
      </c>
      <c r="C345" t="s">
        <v>58</v>
      </c>
      <c r="D345">
        <v>50</v>
      </c>
      <c r="E345" t="s">
        <v>1604</v>
      </c>
      <c r="F345" t="s">
        <v>22</v>
      </c>
      <c r="G345">
        <v>336760</v>
      </c>
      <c r="H345">
        <v>126805</v>
      </c>
      <c r="I345">
        <v>32209</v>
      </c>
      <c r="J345" t="s">
        <v>1601</v>
      </c>
      <c r="K345" t="s">
        <v>23</v>
      </c>
      <c r="L345" t="s">
        <v>17</v>
      </c>
    </row>
    <row r="346" spans="1:12" x14ac:dyDescent="0.3">
      <c r="A346" t="s">
        <v>813</v>
      </c>
      <c r="B346" t="s">
        <v>1435</v>
      </c>
      <c r="C346" t="s">
        <v>58</v>
      </c>
      <c r="D346">
        <v>55</v>
      </c>
      <c r="E346" t="s">
        <v>1603</v>
      </c>
      <c r="F346" t="s">
        <v>59</v>
      </c>
      <c r="G346">
        <v>320319</v>
      </c>
      <c r="H346">
        <v>40592</v>
      </c>
      <c r="I346">
        <v>115131</v>
      </c>
      <c r="J346" t="s">
        <v>1600</v>
      </c>
      <c r="K346" t="s">
        <v>33</v>
      </c>
      <c r="L346" t="s">
        <v>17</v>
      </c>
    </row>
    <row r="347" spans="1:12" x14ac:dyDescent="0.3">
      <c r="A347" t="s">
        <v>814</v>
      </c>
      <c r="B347" t="s">
        <v>1436</v>
      </c>
      <c r="C347" t="s">
        <v>48</v>
      </c>
      <c r="D347">
        <v>56</v>
      </c>
      <c r="E347" t="s">
        <v>1603</v>
      </c>
      <c r="F347" t="s">
        <v>59</v>
      </c>
      <c r="G347">
        <v>62048</v>
      </c>
      <c r="H347">
        <v>240071</v>
      </c>
      <c r="I347">
        <v>16656</v>
      </c>
      <c r="J347" t="s">
        <v>1601</v>
      </c>
      <c r="K347" t="s">
        <v>33</v>
      </c>
      <c r="L347" t="s">
        <v>24</v>
      </c>
    </row>
    <row r="348" spans="1:12" x14ac:dyDescent="0.3">
      <c r="A348" t="s">
        <v>817</v>
      </c>
      <c r="B348" t="s">
        <v>1437</v>
      </c>
      <c r="C348" t="s">
        <v>58</v>
      </c>
      <c r="D348">
        <v>34</v>
      </c>
      <c r="E348" t="s">
        <v>1604</v>
      </c>
      <c r="F348" t="s">
        <v>59</v>
      </c>
      <c r="G348">
        <v>131492</v>
      </c>
      <c r="H348">
        <v>202927</v>
      </c>
      <c r="I348">
        <v>60858</v>
      </c>
      <c r="J348" t="s">
        <v>1599</v>
      </c>
      <c r="K348" t="s">
        <v>16</v>
      </c>
      <c r="L348" t="s">
        <v>24</v>
      </c>
    </row>
    <row r="349" spans="1:12" x14ac:dyDescent="0.3">
      <c r="A349" t="s">
        <v>820</v>
      </c>
      <c r="B349" t="s">
        <v>1438</v>
      </c>
      <c r="C349" t="s">
        <v>21</v>
      </c>
      <c r="D349">
        <v>52</v>
      </c>
      <c r="E349" t="s">
        <v>1603</v>
      </c>
      <c r="F349" t="s">
        <v>1590</v>
      </c>
      <c r="G349">
        <v>219681</v>
      </c>
      <c r="H349">
        <v>217472</v>
      </c>
      <c r="I349">
        <v>147457</v>
      </c>
      <c r="J349" t="s">
        <v>1600</v>
      </c>
      <c r="K349" t="s">
        <v>16</v>
      </c>
      <c r="L349" t="s">
        <v>24</v>
      </c>
    </row>
    <row r="350" spans="1:12" x14ac:dyDescent="0.3">
      <c r="A350" t="s">
        <v>822</v>
      </c>
      <c r="B350" t="s">
        <v>1439</v>
      </c>
      <c r="C350" t="s">
        <v>21</v>
      </c>
      <c r="D350">
        <v>33</v>
      </c>
      <c r="E350" t="s">
        <v>1604</v>
      </c>
      <c r="F350" t="s">
        <v>22</v>
      </c>
      <c r="G350">
        <v>174752</v>
      </c>
      <c r="H350">
        <v>53222</v>
      </c>
      <c r="I350">
        <v>75892</v>
      </c>
      <c r="J350" t="s">
        <v>1599</v>
      </c>
      <c r="K350" t="s">
        <v>33</v>
      </c>
      <c r="L350" t="s">
        <v>17</v>
      </c>
    </row>
    <row r="351" spans="1:12" x14ac:dyDescent="0.3">
      <c r="A351" t="s">
        <v>824</v>
      </c>
      <c r="B351" t="s">
        <v>1440</v>
      </c>
      <c r="C351" t="s">
        <v>21</v>
      </c>
      <c r="D351">
        <v>37</v>
      </c>
      <c r="E351" t="s">
        <v>1604</v>
      </c>
      <c r="F351" t="s">
        <v>22</v>
      </c>
      <c r="G351">
        <v>192495</v>
      </c>
      <c r="H351">
        <v>48295</v>
      </c>
      <c r="I351">
        <v>106034</v>
      </c>
      <c r="J351" t="s">
        <v>1600</v>
      </c>
      <c r="K351" t="s">
        <v>33</v>
      </c>
      <c r="L351" t="s">
        <v>17</v>
      </c>
    </row>
    <row r="352" spans="1:12" x14ac:dyDescent="0.3">
      <c r="A352" t="s">
        <v>827</v>
      </c>
      <c r="B352" t="s">
        <v>1441</v>
      </c>
      <c r="C352" t="s">
        <v>21</v>
      </c>
      <c r="D352">
        <v>55</v>
      </c>
      <c r="E352" t="s">
        <v>1603</v>
      </c>
      <c r="F352" t="s">
        <v>59</v>
      </c>
      <c r="G352">
        <v>336350</v>
      </c>
      <c r="H352">
        <v>18182</v>
      </c>
      <c r="I352">
        <v>113090</v>
      </c>
      <c r="J352" t="s">
        <v>1600</v>
      </c>
      <c r="K352" t="s">
        <v>23</v>
      </c>
      <c r="L352" t="s">
        <v>24</v>
      </c>
    </row>
    <row r="353" spans="1:12" x14ac:dyDescent="0.3">
      <c r="A353" t="s">
        <v>828</v>
      </c>
      <c r="B353" t="s">
        <v>1442</v>
      </c>
      <c r="C353" t="s">
        <v>44</v>
      </c>
      <c r="D353">
        <v>30</v>
      </c>
      <c r="E353" t="s">
        <v>13</v>
      </c>
      <c r="F353" t="s">
        <v>22</v>
      </c>
      <c r="G353">
        <v>232334</v>
      </c>
      <c r="H353">
        <v>192846</v>
      </c>
      <c r="I353">
        <v>107785</v>
      </c>
      <c r="J353" t="s">
        <v>1600</v>
      </c>
      <c r="K353" t="s">
        <v>16</v>
      </c>
      <c r="L353" t="s">
        <v>24</v>
      </c>
    </row>
    <row r="354" spans="1:12" x14ac:dyDescent="0.3">
      <c r="A354" t="s">
        <v>831</v>
      </c>
      <c r="B354" t="s">
        <v>1443</v>
      </c>
      <c r="C354" t="s">
        <v>44</v>
      </c>
      <c r="D354">
        <v>49</v>
      </c>
      <c r="E354" t="s">
        <v>1604</v>
      </c>
      <c r="F354" t="s">
        <v>22</v>
      </c>
      <c r="G354">
        <v>321848</v>
      </c>
      <c r="H354">
        <v>278204</v>
      </c>
      <c r="I354">
        <v>51310</v>
      </c>
      <c r="J354" t="s">
        <v>1599</v>
      </c>
      <c r="K354" t="s">
        <v>16</v>
      </c>
      <c r="L354" t="s">
        <v>17</v>
      </c>
    </row>
    <row r="355" spans="1:12" x14ac:dyDescent="0.3">
      <c r="A355" t="s">
        <v>833</v>
      </c>
      <c r="B355" t="s">
        <v>1444</v>
      </c>
      <c r="C355" t="s">
        <v>14</v>
      </c>
      <c r="D355">
        <v>58</v>
      </c>
      <c r="E355" t="s">
        <v>1603</v>
      </c>
      <c r="F355" t="s">
        <v>1590</v>
      </c>
      <c r="G355">
        <v>436251</v>
      </c>
      <c r="H355">
        <v>266972</v>
      </c>
      <c r="I355">
        <v>75556</v>
      </c>
      <c r="J355" t="s">
        <v>1599</v>
      </c>
      <c r="K355" t="s">
        <v>23</v>
      </c>
      <c r="L355" t="s">
        <v>24</v>
      </c>
    </row>
    <row r="356" spans="1:12" x14ac:dyDescent="0.3">
      <c r="A356" t="s">
        <v>835</v>
      </c>
      <c r="B356" t="s">
        <v>1445</v>
      </c>
      <c r="C356" t="s">
        <v>44</v>
      </c>
      <c r="D356">
        <v>35</v>
      </c>
      <c r="E356" t="s">
        <v>1604</v>
      </c>
      <c r="F356" t="s">
        <v>22</v>
      </c>
      <c r="G356">
        <v>214107</v>
      </c>
      <c r="H356">
        <v>149662</v>
      </c>
      <c r="I356">
        <v>108410</v>
      </c>
      <c r="J356" t="s">
        <v>1600</v>
      </c>
      <c r="K356" t="s">
        <v>23</v>
      </c>
      <c r="L356" t="s">
        <v>17</v>
      </c>
    </row>
    <row r="357" spans="1:12" x14ac:dyDescent="0.3">
      <c r="A357" t="s">
        <v>838</v>
      </c>
      <c r="B357" t="s">
        <v>1446</v>
      </c>
      <c r="C357" t="s">
        <v>21</v>
      </c>
      <c r="D357">
        <v>39.868583162217661</v>
      </c>
      <c r="E357" t="s">
        <v>1604</v>
      </c>
      <c r="F357" t="s">
        <v>22</v>
      </c>
      <c r="G357">
        <v>278509</v>
      </c>
      <c r="H357">
        <v>72745</v>
      </c>
      <c r="I357">
        <v>45862</v>
      </c>
      <c r="J357" t="s">
        <v>1601</v>
      </c>
      <c r="K357" t="s">
        <v>16</v>
      </c>
      <c r="L357" t="s">
        <v>24</v>
      </c>
    </row>
    <row r="358" spans="1:12" x14ac:dyDescent="0.3">
      <c r="A358" t="s">
        <v>840</v>
      </c>
      <c r="B358" t="s">
        <v>1447</v>
      </c>
      <c r="C358" t="s">
        <v>48</v>
      </c>
      <c r="D358">
        <v>48</v>
      </c>
      <c r="E358" t="s">
        <v>1604</v>
      </c>
      <c r="F358" t="s">
        <v>22</v>
      </c>
      <c r="G358">
        <v>57117</v>
      </c>
      <c r="H358">
        <v>53915</v>
      </c>
      <c r="I358">
        <v>117766</v>
      </c>
      <c r="J358" t="s">
        <v>1600</v>
      </c>
      <c r="K358" t="s">
        <v>33</v>
      </c>
      <c r="L358" t="s">
        <v>17</v>
      </c>
    </row>
    <row r="359" spans="1:12" x14ac:dyDescent="0.3">
      <c r="A359" t="s">
        <v>842</v>
      </c>
      <c r="B359" t="s">
        <v>1448</v>
      </c>
      <c r="C359" t="s">
        <v>21</v>
      </c>
      <c r="D359">
        <v>43</v>
      </c>
      <c r="E359" t="s">
        <v>1604</v>
      </c>
      <c r="F359" t="s">
        <v>59</v>
      </c>
      <c r="G359">
        <v>396455</v>
      </c>
      <c r="H359">
        <v>93598</v>
      </c>
      <c r="I359">
        <v>65578</v>
      </c>
      <c r="J359" t="s">
        <v>1599</v>
      </c>
      <c r="K359" t="s">
        <v>23</v>
      </c>
      <c r="L359" t="s">
        <v>24</v>
      </c>
    </row>
    <row r="360" spans="1:12" x14ac:dyDescent="0.3">
      <c r="A360" t="s">
        <v>843</v>
      </c>
      <c r="B360" t="s">
        <v>1449</v>
      </c>
      <c r="C360" t="s">
        <v>44</v>
      </c>
      <c r="D360">
        <v>47</v>
      </c>
      <c r="E360" t="s">
        <v>1604</v>
      </c>
      <c r="F360" t="s">
        <v>1590</v>
      </c>
      <c r="G360">
        <v>90614</v>
      </c>
      <c r="H360">
        <v>189968</v>
      </c>
      <c r="I360">
        <v>92863</v>
      </c>
      <c r="J360" t="s">
        <v>1599</v>
      </c>
      <c r="K360" t="s">
        <v>16</v>
      </c>
      <c r="L360" t="s">
        <v>17</v>
      </c>
    </row>
    <row r="361" spans="1:12" x14ac:dyDescent="0.3">
      <c r="A361" t="s">
        <v>845</v>
      </c>
      <c r="B361" t="s">
        <v>1450</v>
      </c>
      <c r="C361" t="s">
        <v>14</v>
      </c>
      <c r="D361">
        <v>21</v>
      </c>
      <c r="E361" t="s">
        <v>13</v>
      </c>
      <c r="F361" t="s">
        <v>22</v>
      </c>
      <c r="G361">
        <v>111730</v>
      </c>
      <c r="H361">
        <v>155929</v>
      </c>
      <c r="I361">
        <v>112465</v>
      </c>
      <c r="J361" t="s">
        <v>1600</v>
      </c>
      <c r="K361" t="s">
        <v>33</v>
      </c>
      <c r="L361" t="s">
        <v>17</v>
      </c>
    </row>
    <row r="362" spans="1:12" x14ac:dyDescent="0.3">
      <c r="A362" t="s">
        <v>847</v>
      </c>
      <c r="B362" t="s">
        <v>1451</v>
      </c>
      <c r="C362" t="s">
        <v>44</v>
      </c>
      <c r="D362">
        <v>30</v>
      </c>
      <c r="E362" t="s">
        <v>13</v>
      </c>
      <c r="F362" t="s">
        <v>59</v>
      </c>
      <c r="G362">
        <v>44023</v>
      </c>
      <c r="H362">
        <v>47631</v>
      </c>
      <c r="I362">
        <v>32958</v>
      </c>
      <c r="J362" t="s">
        <v>1601</v>
      </c>
      <c r="K362" t="s">
        <v>33</v>
      </c>
      <c r="L362" t="s">
        <v>24</v>
      </c>
    </row>
    <row r="363" spans="1:12" x14ac:dyDescent="0.3">
      <c r="A363" t="s">
        <v>850</v>
      </c>
      <c r="B363" t="s">
        <v>1452</v>
      </c>
      <c r="C363" t="s">
        <v>48</v>
      </c>
      <c r="D363">
        <v>42</v>
      </c>
      <c r="E363" t="s">
        <v>1604</v>
      </c>
      <c r="F363" t="s">
        <v>59</v>
      </c>
      <c r="G363">
        <v>252076.5122</v>
      </c>
      <c r="H363">
        <v>124211.14290000001</v>
      </c>
      <c r="I363">
        <v>48171</v>
      </c>
      <c r="J363" t="s">
        <v>1601</v>
      </c>
      <c r="K363" t="s">
        <v>23</v>
      </c>
      <c r="L363" t="s">
        <v>17</v>
      </c>
    </row>
    <row r="364" spans="1:12" x14ac:dyDescent="0.3">
      <c r="A364" t="s">
        <v>852</v>
      </c>
      <c r="B364" t="s">
        <v>1453</v>
      </c>
      <c r="C364" t="s">
        <v>48</v>
      </c>
      <c r="D364">
        <v>57</v>
      </c>
      <c r="E364" t="s">
        <v>1603</v>
      </c>
      <c r="F364" t="s">
        <v>1590</v>
      </c>
      <c r="G364">
        <v>44348</v>
      </c>
      <c r="H364">
        <v>68666</v>
      </c>
      <c r="I364">
        <v>37097</v>
      </c>
      <c r="J364" t="s">
        <v>1601</v>
      </c>
      <c r="K364" t="s">
        <v>16</v>
      </c>
      <c r="L364" t="s">
        <v>17</v>
      </c>
    </row>
    <row r="365" spans="1:12" x14ac:dyDescent="0.3">
      <c r="A365" t="s">
        <v>854</v>
      </c>
      <c r="B365" t="s">
        <v>1454</v>
      </c>
      <c r="C365" t="s">
        <v>21</v>
      </c>
      <c r="D365">
        <v>43</v>
      </c>
      <c r="E365" t="s">
        <v>1604</v>
      </c>
      <c r="F365" t="s">
        <v>1590</v>
      </c>
      <c r="G365">
        <v>466548</v>
      </c>
      <c r="H365">
        <v>22733</v>
      </c>
      <c r="I365">
        <v>34409</v>
      </c>
      <c r="J365" t="s">
        <v>1601</v>
      </c>
      <c r="K365" t="s">
        <v>16</v>
      </c>
      <c r="L365" t="s">
        <v>17</v>
      </c>
    </row>
    <row r="366" spans="1:12" x14ac:dyDescent="0.3">
      <c r="A366" t="s">
        <v>856</v>
      </c>
      <c r="B366" t="s">
        <v>1455</v>
      </c>
      <c r="C366" t="s">
        <v>48</v>
      </c>
      <c r="D366">
        <v>52</v>
      </c>
      <c r="E366" t="s">
        <v>1603</v>
      </c>
      <c r="F366" t="s">
        <v>59</v>
      </c>
      <c r="G366">
        <v>360002</v>
      </c>
      <c r="H366">
        <v>161259</v>
      </c>
      <c r="I366">
        <v>111384</v>
      </c>
      <c r="J366" t="s">
        <v>1600</v>
      </c>
      <c r="K366" t="s">
        <v>16</v>
      </c>
      <c r="L366" t="s">
        <v>24</v>
      </c>
    </row>
    <row r="367" spans="1:12" x14ac:dyDescent="0.3">
      <c r="A367" t="s">
        <v>858</v>
      </c>
      <c r="B367" t="s">
        <v>1456</v>
      </c>
      <c r="C367" t="s">
        <v>21</v>
      </c>
      <c r="D367">
        <v>39</v>
      </c>
      <c r="E367" t="s">
        <v>1604</v>
      </c>
      <c r="F367" t="s">
        <v>22</v>
      </c>
      <c r="G367">
        <v>258853</v>
      </c>
      <c r="H367">
        <v>20010</v>
      </c>
      <c r="I367">
        <v>22361</v>
      </c>
      <c r="J367" t="s">
        <v>1601</v>
      </c>
      <c r="K367" t="s">
        <v>23</v>
      </c>
      <c r="L367" t="s">
        <v>24</v>
      </c>
    </row>
    <row r="368" spans="1:12" x14ac:dyDescent="0.3">
      <c r="A368" t="s">
        <v>859</v>
      </c>
      <c r="B368" t="s">
        <v>1457</v>
      </c>
      <c r="C368" t="s">
        <v>14</v>
      </c>
      <c r="D368">
        <v>48</v>
      </c>
      <c r="E368" t="s">
        <v>1604</v>
      </c>
      <c r="F368" t="s">
        <v>22</v>
      </c>
      <c r="G368">
        <v>252076.5122</v>
      </c>
      <c r="H368">
        <v>101858</v>
      </c>
      <c r="I368">
        <v>95966</v>
      </c>
      <c r="J368" t="s">
        <v>1599</v>
      </c>
      <c r="K368" t="s">
        <v>23</v>
      </c>
      <c r="L368" t="s">
        <v>17</v>
      </c>
    </row>
    <row r="369" spans="1:12" x14ac:dyDescent="0.3">
      <c r="A369" t="s">
        <v>861</v>
      </c>
      <c r="B369" t="s">
        <v>1458</v>
      </c>
      <c r="C369" t="s">
        <v>14</v>
      </c>
      <c r="D369">
        <v>43</v>
      </c>
      <c r="E369" t="s">
        <v>1604</v>
      </c>
      <c r="F369" t="s">
        <v>1590</v>
      </c>
      <c r="G369">
        <v>237006</v>
      </c>
      <c r="H369">
        <v>84806</v>
      </c>
      <c r="I369">
        <v>105352</v>
      </c>
      <c r="J369" t="s">
        <v>1600</v>
      </c>
      <c r="K369" t="s">
        <v>23</v>
      </c>
      <c r="L369" t="s">
        <v>17</v>
      </c>
    </row>
    <row r="370" spans="1:12" x14ac:dyDescent="0.3">
      <c r="A370" t="s">
        <v>863</v>
      </c>
      <c r="B370" t="s">
        <v>1459</v>
      </c>
      <c r="C370" t="s">
        <v>21</v>
      </c>
      <c r="D370">
        <v>39</v>
      </c>
      <c r="E370" t="s">
        <v>1604</v>
      </c>
      <c r="F370" t="s">
        <v>1590</v>
      </c>
      <c r="G370">
        <v>261414</v>
      </c>
      <c r="H370">
        <v>239815</v>
      </c>
      <c r="I370">
        <v>30064</v>
      </c>
      <c r="J370" t="s">
        <v>1601</v>
      </c>
      <c r="K370" t="s">
        <v>16</v>
      </c>
      <c r="L370" t="s">
        <v>24</v>
      </c>
    </row>
    <row r="371" spans="1:12" x14ac:dyDescent="0.3">
      <c r="A371" t="s">
        <v>865</v>
      </c>
      <c r="B371" t="s">
        <v>1460</v>
      </c>
      <c r="C371" t="s">
        <v>48</v>
      </c>
      <c r="D371">
        <v>56</v>
      </c>
      <c r="E371" t="s">
        <v>1603</v>
      </c>
      <c r="F371" t="s">
        <v>22</v>
      </c>
      <c r="G371">
        <v>319744</v>
      </c>
      <c r="H371">
        <v>93137</v>
      </c>
      <c r="I371">
        <v>76700</v>
      </c>
      <c r="J371" t="s">
        <v>1599</v>
      </c>
      <c r="K371" t="s">
        <v>16</v>
      </c>
      <c r="L371" t="s">
        <v>17</v>
      </c>
    </row>
    <row r="372" spans="1:12" x14ac:dyDescent="0.3">
      <c r="A372" t="s">
        <v>867</v>
      </c>
      <c r="B372" t="s">
        <v>1461</v>
      </c>
      <c r="C372" t="s">
        <v>44</v>
      </c>
      <c r="D372">
        <v>24</v>
      </c>
      <c r="E372" t="s">
        <v>13</v>
      </c>
      <c r="F372" t="s">
        <v>59</v>
      </c>
      <c r="G372">
        <v>252076.5122</v>
      </c>
      <c r="H372">
        <v>133095</v>
      </c>
      <c r="I372">
        <v>48979</v>
      </c>
      <c r="J372" t="s">
        <v>1601</v>
      </c>
      <c r="K372" t="s">
        <v>33</v>
      </c>
      <c r="L372" t="s">
        <v>24</v>
      </c>
    </row>
    <row r="373" spans="1:12" x14ac:dyDescent="0.3">
      <c r="A373" t="s">
        <v>869</v>
      </c>
      <c r="B373" t="s">
        <v>1462</v>
      </c>
      <c r="C373" t="s">
        <v>44</v>
      </c>
      <c r="D373">
        <v>59</v>
      </c>
      <c r="E373" t="s">
        <v>1603</v>
      </c>
      <c r="F373" t="s">
        <v>22</v>
      </c>
      <c r="G373">
        <v>344622</v>
      </c>
      <c r="H373">
        <v>260297</v>
      </c>
      <c r="I373">
        <v>74372</v>
      </c>
      <c r="J373" t="s">
        <v>1599</v>
      </c>
      <c r="K373" t="s">
        <v>16</v>
      </c>
      <c r="L373" t="s">
        <v>24</v>
      </c>
    </row>
    <row r="374" spans="1:12" x14ac:dyDescent="0.3">
      <c r="A374" t="s">
        <v>872</v>
      </c>
      <c r="B374" t="s">
        <v>1463</v>
      </c>
      <c r="C374" t="s">
        <v>21</v>
      </c>
      <c r="D374">
        <v>28</v>
      </c>
      <c r="E374" t="s">
        <v>13</v>
      </c>
      <c r="F374" t="s">
        <v>22</v>
      </c>
      <c r="G374">
        <v>392183</v>
      </c>
      <c r="H374">
        <v>132526</v>
      </c>
      <c r="I374">
        <v>134976</v>
      </c>
      <c r="J374" t="s">
        <v>1600</v>
      </c>
      <c r="K374" t="s">
        <v>16</v>
      </c>
      <c r="L374" t="s">
        <v>24</v>
      </c>
    </row>
    <row r="375" spans="1:12" x14ac:dyDescent="0.3">
      <c r="A375" t="s">
        <v>873</v>
      </c>
      <c r="B375" t="s">
        <v>1464</v>
      </c>
      <c r="C375" t="s">
        <v>14</v>
      </c>
      <c r="D375">
        <v>32</v>
      </c>
      <c r="E375" t="s">
        <v>1604</v>
      </c>
      <c r="F375" t="s">
        <v>22</v>
      </c>
      <c r="G375">
        <v>121171</v>
      </c>
      <c r="H375">
        <v>6261</v>
      </c>
      <c r="I375">
        <v>148901</v>
      </c>
      <c r="J375" t="s">
        <v>1600</v>
      </c>
      <c r="K375" t="s">
        <v>33</v>
      </c>
      <c r="L375" t="s">
        <v>24</v>
      </c>
    </row>
    <row r="376" spans="1:12" x14ac:dyDescent="0.3">
      <c r="A376" t="s">
        <v>874</v>
      </c>
      <c r="B376" t="s">
        <v>1465</v>
      </c>
      <c r="C376" t="s">
        <v>21</v>
      </c>
      <c r="D376">
        <v>53</v>
      </c>
      <c r="E376" t="s">
        <v>1603</v>
      </c>
      <c r="F376" t="s">
        <v>59</v>
      </c>
      <c r="G376">
        <v>478742</v>
      </c>
      <c r="H376">
        <v>51344</v>
      </c>
      <c r="I376">
        <v>125003</v>
      </c>
      <c r="J376" t="s">
        <v>1600</v>
      </c>
      <c r="K376" t="s">
        <v>23</v>
      </c>
      <c r="L376" t="s">
        <v>24</v>
      </c>
    </row>
    <row r="377" spans="1:12" x14ac:dyDescent="0.3">
      <c r="A377" t="s">
        <v>877</v>
      </c>
      <c r="B377" t="s">
        <v>1466</v>
      </c>
      <c r="C377" t="s">
        <v>21</v>
      </c>
      <c r="D377">
        <v>31</v>
      </c>
      <c r="E377" t="s">
        <v>1604</v>
      </c>
      <c r="F377" t="s">
        <v>1590</v>
      </c>
      <c r="G377">
        <v>396430</v>
      </c>
      <c r="H377">
        <v>82952</v>
      </c>
      <c r="I377">
        <v>97601</v>
      </c>
      <c r="J377" t="s">
        <v>1599</v>
      </c>
      <c r="K377" t="s">
        <v>33</v>
      </c>
      <c r="L377" t="s">
        <v>24</v>
      </c>
    </row>
    <row r="378" spans="1:12" x14ac:dyDescent="0.3">
      <c r="A378" t="s">
        <v>879</v>
      </c>
      <c r="B378" t="s">
        <v>1467</v>
      </c>
      <c r="C378" t="s">
        <v>44</v>
      </c>
      <c r="D378">
        <v>24</v>
      </c>
      <c r="E378" t="s">
        <v>13</v>
      </c>
      <c r="F378" t="s">
        <v>22</v>
      </c>
      <c r="G378">
        <v>423701</v>
      </c>
      <c r="H378">
        <v>129181</v>
      </c>
      <c r="I378">
        <v>15001</v>
      </c>
      <c r="J378" t="s">
        <v>1601</v>
      </c>
      <c r="K378" t="s">
        <v>33</v>
      </c>
      <c r="L378" t="s">
        <v>17</v>
      </c>
    </row>
    <row r="379" spans="1:12" x14ac:dyDescent="0.3">
      <c r="A379" t="s">
        <v>880</v>
      </c>
      <c r="B379" t="s">
        <v>1468</v>
      </c>
      <c r="C379" t="s">
        <v>14</v>
      </c>
      <c r="D379">
        <v>27</v>
      </c>
      <c r="E379" t="s">
        <v>13</v>
      </c>
      <c r="F379" t="s">
        <v>59</v>
      </c>
      <c r="G379">
        <v>293666</v>
      </c>
      <c r="H379">
        <v>234181</v>
      </c>
      <c r="I379">
        <v>54259</v>
      </c>
      <c r="J379" t="s">
        <v>1599</v>
      </c>
      <c r="K379" t="s">
        <v>16</v>
      </c>
      <c r="L379" t="s">
        <v>24</v>
      </c>
    </row>
    <row r="380" spans="1:12" x14ac:dyDescent="0.3">
      <c r="A380" t="s">
        <v>882</v>
      </c>
      <c r="B380" t="s">
        <v>1469</v>
      </c>
      <c r="C380" t="s">
        <v>14</v>
      </c>
      <c r="D380">
        <v>53</v>
      </c>
      <c r="E380" t="s">
        <v>1603</v>
      </c>
      <c r="F380" t="s">
        <v>59</v>
      </c>
      <c r="G380">
        <v>34264</v>
      </c>
      <c r="H380">
        <v>103776</v>
      </c>
      <c r="I380">
        <v>129466</v>
      </c>
      <c r="J380" t="s">
        <v>1600</v>
      </c>
      <c r="K380" t="s">
        <v>23</v>
      </c>
      <c r="L380" t="s">
        <v>17</v>
      </c>
    </row>
    <row r="381" spans="1:12" x14ac:dyDescent="0.3">
      <c r="A381" t="s">
        <v>884</v>
      </c>
      <c r="B381" t="s">
        <v>1470</v>
      </c>
      <c r="C381" t="s">
        <v>48</v>
      </c>
      <c r="D381">
        <v>50</v>
      </c>
      <c r="E381" t="s">
        <v>1604</v>
      </c>
      <c r="F381" t="s">
        <v>22</v>
      </c>
      <c r="G381">
        <v>160810</v>
      </c>
      <c r="H381">
        <v>268796</v>
      </c>
      <c r="I381">
        <v>145311</v>
      </c>
      <c r="J381" t="s">
        <v>1600</v>
      </c>
      <c r="K381" t="s">
        <v>23</v>
      </c>
      <c r="L381" t="s">
        <v>17</v>
      </c>
    </row>
    <row r="382" spans="1:12" x14ac:dyDescent="0.3">
      <c r="A382" t="s">
        <v>887</v>
      </c>
      <c r="B382" t="s">
        <v>1471</v>
      </c>
      <c r="C382" t="s">
        <v>14</v>
      </c>
      <c r="D382">
        <v>40</v>
      </c>
      <c r="E382" t="s">
        <v>1604</v>
      </c>
      <c r="F382" t="s">
        <v>59</v>
      </c>
      <c r="G382">
        <v>242668</v>
      </c>
      <c r="H382">
        <v>62828</v>
      </c>
      <c r="I382">
        <v>32923</v>
      </c>
      <c r="J382" t="s">
        <v>1601</v>
      </c>
      <c r="K382" t="s">
        <v>23</v>
      </c>
      <c r="L382" t="s">
        <v>24</v>
      </c>
    </row>
    <row r="383" spans="1:12" x14ac:dyDescent="0.3">
      <c r="A383" t="s">
        <v>889</v>
      </c>
      <c r="B383" t="s">
        <v>1472</v>
      </c>
      <c r="C383" t="s">
        <v>21</v>
      </c>
      <c r="D383">
        <v>56</v>
      </c>
      <c r="E383" t="s">
        <v>1603</v>
      </c>
      <c r="F383" t="s">
        <v>1590</v>
      </c>
      <c r="G383">
        <v>485185</v>
      </c>
      <c r="H383">
        <v>85717</v>
      </c>
      <c r="I383">
        <v>23583</v>
      </c>
      <c r="J383" t="s">
        <v>1601</v>
      </c>
      <c r="K383" t="s">
        <v>33</v>
      </c>
      <c r="L383" t="s">
        <v>17</v>
      </c>
    </row>
    <row r="384" spans="1:12" x14ac:dyDescent="0.3">
      <c r="A384" t="s">
        <v>891</v>
      </c>
      <c r="B384" t="s">
        <v>1473</v>
      </c>
      <c r="C384" t="s">
        <v>14</v>
      </c>
      <c r="D384">
        <v>24</v>
      </c>
      <c r="E384" t="s">
        <v>13</v>
      </c>
      <c r="F384" t="s">
        <v>59</v>
      </c>
      <c r="G384">
        <v>16514</v>
      </c>
      <c r="H384">
        <v>10309</v>
      </c>
      <c r="I384">
        <v>120769</v>
      </c>
      <c r="J384" t="s">
        <v>1600</v>
      </c>
      <c r="K384" t="s">
        <v>16</v>
      </c>
      <c r="L384" t="s">
        <v>17</v>
      </c>
    </row>
    <row r="385" spans="1:12" x14ac:dyDescent="0.3">
      <c r="A385" t="s">
        <v>892</v>
      </c>
      <c r="B385" t="s">
        <v>1474</v>
      </c>
      <c r="C385" t="s">
        <v>14</v>
      </c>
      <c r="D385">
        <v>35</v>
      </c>
      <c r="E385" t="s">
        <v>1604</v>
      </c>
      <c r="F385" t="s">
        <v>22</v>
      </c>
      <c r="G385">
        <v>252076.5122</v>
      </c>
      <c r="H385">
        <v>261842</v>
      </c>
      <c r="I385">
        <v>71474</v>
      </c>
      <c r="J385" t="s">
        <v>1599</v>
      </c>
      <c r="K385" t="s">
        <v>23</v>
      </c>
      <c r="L385" t="s">
        <v>24</v>
      </c>
    </row>
    <row r="386" spans="1:12" x14ac:dyDescent="0.3">
      <c r="A386" t="s">
        <v>893</v>
      </c>
      <c r="B386" t="s">
        <v>1475</v>
      </c>
      <c r="C386" t="s">
        <v>44</v>
      </c>
      <c r="D386">
        <v>32</v>
      </c>
      <c r="E386" t="s">
        <v>1604</v>
      </c>
      <c r="F386" t="s">
        <v>59</v>
      </c>
      <c r="G386">
        <v>337847</v>
      </c>
      <c r="H386">
        <v>194095</v>
      </c>
      <c r="I386">
        <v>21729</v>
      </c>
      <c r="J386" t="s">
        <v>1601</v>
      </c>
      <c r="K386" t="s">
        <v>23</v>
      </c>
      <c r="L386" t="s">
        <v>17</v>
      </c>
    </row>
    <row r="387" spans="1:12" x14ac:dyDescent="0.3">
      <c r="A387" t="s">
        <v>896</v>
      </c>
      <c r="B387" t="s">
        <v>1476</v>
      </c>
      <c r="C387" t="s">
        <v>58</v>
      </c>
      <c r="D387">
        <v>36</v>
      </c>
      <c r="E387" t="s">
        <v>1604</v>
      </c>
      <c r="F387" t="s">
        <v>1590</v>
      </c>
      <c r="G387">
        <v>129645</v>
      </c>
      <c r="H387">
        <v>272792</v>
      </c>
      <c r="I387">
        <v>118466</v>
      </c>
      <c r="J387" t="s">
        <v>1600</v>
      </c>
      <c r="K387" t="s">
        <v>16</v>
      </c>
      <c r="L387" t="s">
        <v>24</v>
      </c>
    </row>
    <row r="388" spans="1:12" x14ac:dyDescent="0.3">
      <c r="A388" t="s">
        <v>898</v>
      </c>
      <c r="B388" t="s">
        <v>1477</v>
      </c>
      <c r="C388" t="s">
        <v>44</v>
      </c>
      <c r="D388">
        <v>27</v>
      </c>
      <c r="E388" t="s">
        <v>13</v>
      </c>
      <c r="F388" t="s">
        <v>59</v>
      </c>
      <c r="G388">
        <v>284215</v>
      </c>
      <c r="H388">
        <v>61252</v>
      </c>
      <c r="I388">
        <v>88259</v>
      </c>
      <c r="J388" t="s">
        <v>1599</v>
      </c>
      <c r="K388" t="s">
        <v>33</v>
      </c>
      <c r="L388" t="s">
        <v>24</v>
      </c>
    </row>
    <row r="389" spans="1:12" x14ac:dyDescent="0.3">
      <c r="A389" t="s">
        <v>899</v>
      </c>
      <c r="B389" t="s">
        <v>1478</v>
      </c>
      <c r="C389" t="s">
        <v>44</v>
      </c>
      <c r="D389">
        <v>58</v>
      </c>
      <c r="E389" t="s">
        <v>1603</v>
      </c>
      <c r="F389" t="s">
        <v>59</v>
      </c>
      <c r="G389">
        <v>151192</v>
      </c>
      <c r="H389">
        <v>144596.3333</v>
      </c>
      <c r="I389">
        <v>116164</v>
      </c>
      <c r="J389" t="s">
        <v>1600</v>
      </c>
      <c r="K389" t="s">
        <v>23</v>
      </c>
      <c r="L389" t="s">
        <v>24</v>
      </c>
    </row>
    <row r="390" spans="1:12" x14ac:dyDescent="0.3">
      <c r="A390" t="s">
        <v>900</v>
      </c>
      <c r="B390" t="s">
        <v>1479</v>
      </c>
      <c r="C390" t="s">
        <v>58</v>
      </c>
      <c r="D390">
        <v>52</v>
      </c>
      <c r="E390" t="s">
        <v>1603</v>
      </c>
      <c r="F390" t="s">
        <v>59</v>
      </c>
      <c r="G390">
        <v>107589</v>
      </c>
      <c r="H390">
        <v>286248</v>
      </c>
      <c r="I390">
        <v>128046</v>
      </c>
      <c r="J390" t="s">
        <v>1600</v>
      </c>
      <c r="K390" t="s">
        <v>16</v>
      </c>
      <c r="L390" t="s">
        <v>24</v>
      </c>
    </row>
    <row r="391" spans="1:12" x14ac:dyDescent="0.3">
      <c r="A391" t="s">
        <v>901</v>
      </c>
      <c r="B391" t="s">
        <v>1480</v>
      </c>
      <c r="C391" t="s">
        <v>14</v>
      </c>
      <c r="D391">
        <v>59</v>
      </c>
      <c r="E391" t="s">
        <v>1603</v>
      </c>
      <c r="F391" t="s">
        <v>22</v>
      </c>
      <c r="G391">
        <v>208909</v>
      </c>
      <c r="H391">
        <v>181534.3</v>
      </c>
      <c r="I391">
        <v>68167</v>
      </c>
      <c r="J391" t="s">
        <v>1599</v>
      </c>
      <c r="K391" t="s">
        <v>23</v>
      </c>
      <c r="L391" t="s">
        <v>17</v>
      </c>
    </row>
    <row r="392" spans="1:12" x14ac:dyDescent="0.3">
      <c r="A392" t="s">
        <v>902</v>
      </c>
      <c r="B392" t="s">
        <v>1481</v>
      </c>
      <c r="C392" t="s">
        <v>14</v>
      </c>
      <c r="D392">
        <v>24</v>
      </c>
      <c r="E392" t="s">
        <v>13</v>
      </c>
      <c r="F392" t="s">
        <v>22</v>
      </c>
      <c r="G392">
        <v>442105</v>
      </c>
      <c r="H392">
        <v>79060</v>
      </c>
      <c r="I392">
        <v>134649</v>
      </c>
      <c r="J392" t="s">
        <v>1600</v>
      </c>
      <c r="K392" t="s">
        <v>16</v>
      </c>
      <c r="L392" t="s">
        <v>17</v>
      </c>
    </row>
    <row r="393" spans="1:12" x14ac:dyDescent="0.3">
      <c r="A393" t="s">
        <v>904</v>
      </c>
      <c r="B393" t="s">
        <v>1482</v>
      </c>
      <c r="C393" t="s">
        <v>48</v>
      </c>
      <c r="D393">
        <v>27</v>
      </c>
      <c r="E393" t="s">
        <v>13</v>
      </c>
      <c r="F393" t="s">
        <v>1590</v>
      </c>
      <c r="G393">
        <v>407361</v>
      </c>
      <c r="H393">
        <v>238892</v>
      </c>
      <c r="I393">
        <v>136584</v>
      </c>
      <c r="J393" t="s">
        <v>1600</v>
      </c>
      <c r="K393" t="s">
        <v>23</v>
      </c>
      <c r="L393" t="s">
        <v>24</v>
      </c>
    </row>
    <row r="394" spans="1:12" x14ac:dyDescent="0.3">
      <c r="A394" t="s">
        <v>906</v>
      </c>
      <c r="B394" t="s">
        <v>1483</v>
      </c>
      <c r="C394" t="s">
        <v>48</v>
      </c>
      <c r="D394">
        <v>34</v>
      </c>
      <c r="E394" t="s">
        <v>1604</v>
      </c>
      <c r="F394" t="s">
        <v>22</v>
      </c>
      <c r="G394">
        <v>252076.5122</v>
      </c>
      <c r="H394">
        <v>137432</v>
      </c>
      <c r="I394">
        <v>29725</v>
      </c>
      <c r="J394" t="s">
        <v>1601</v>
      </c>
      <c r="K394" t="s">
        <v>33</v>
      </c>
      <c r="L394" t="s">
        <v>24</v>
      </c>
    </row>
    <row r="395" spans="1:12" x14ac:dyDescent="0.3">
      <c r="A395" t="s">
        <v>908</v>
      </c>
      <c r="B395" t="s">
        <v>1484</v>
      </c>
      <c r="C395" t="s">
        <v>58</v>
      </c>
      <c r="D395">
        <v>31</v>
      </c>
      <c r="E395" t="s">
        <v>1604</v>
      </c>
      <c r="F395" t="s">
        <v>22</v>
      </c>
      <c r="G395">
        <v>101407</v>
      </c>
      <c r="H395">
        <v>193618</v>
      </c>
      <c r="I395">
        <v>72765</v>
      </c>
      <c r="J395" t="s">
        <v>1599</v>
      </c>
      <c r="K395" t="s">
        <v>16</v>
      </c>
      <c r="L395" t="s">
        <v>17</v>
      </c>
    </row>
    <row r="396" spans="1:12" x14ac:dyDescent="0.3">
      <c r="A396" t="s">
        <v>910</v>
      </c>
      <c r="B396" t="s">
        <v>1485</v>
      </c>
      <c r="C396" t="s">
        <v>58</v>
      </c>
      <c r="D396">
        <v>23</v>
      </c>
      <c r="E396" t="s">
        <v>13</v>
      </c>
      <c r="F396" t="s">
        <v>59</v>
      </c>
      <c r="G396">
        <v>192867</v>
      </c>
      <c r="H396">
        <v>263591</v>
      </c>
      <c r="I396">
        <v>78847</v>
      </c>
      <c r="J396" t="s">
        <v>1599</v>
      </c>
      <c r="K396" t="s">
        <v>33</v>
      </c>
      <c r="L396" t="s">
        <v>17</v>
      </c>
    </row>
    <row r="397" spans="1:12" x14ac:dyDescent="0.3">
      <c r="A397" t="s">
        <v>913</v>
      </c>
      <c r="B397" t="s">
        <v>1486</v>
      </c>
      <c r="C397" t="s">
        <v>58</v>
      </c>
      <c r="D397">
        <v>21</v>
      </c>
      <c r="E397" t="s">
        <v>13</v>
      </c>
      <c r="F397" t="s">
        <v>59</v>
      </c>
      <c r="G397">
        <v>252076.5122</v>
      </c>
      <c r="H397">
        <v>64002</v>
      </c>
      <c r="I397">
        <v>86639</v>
      </c>
      <c r="J397" t="s">
        <v>1599</v>
      </c>
      <c r="K397" t="s">
        <v>23</v>
      </c>
      <c r="L397" t="s">
        <v>17</v>
      </c>
    </row>
    <row r="398" spans="1:12" x14ac:dyDescent="0.3">
      <c r="A398" t="s">
        <v>915</v>
      </c>
      <c r="B398" t="s">
        <v>1487</v>
      </c>
      <c r="C398" t="s">
        <v>14</v>
      </c>
      <c r="D398">
        <v>48</v>
      </c>
      <c r="E398" t="s">
        <v>1604</v>
      </c>
      <c r="F398" t="s">
        <v>22</v>
      </c>
      <c r="G398">
        <v>393629</v>
      </c>
      <c r="H398">
        <v>136682.45449999999</v>
      </c>
      <c r="I398">
        <v>136131</v>
      </c>
      <c r="J398" t="s">
        <v>1600</v>
      </c>
      <c r="K398" t="s">
        <v>23</v>
      </c>
      <c r="L398" t="s">
        <v>24</v>
      </c>
    </row>
    <row r="399" spans="1:12" x14ac:dyDescent="0.3">
      <c r="A399" t="s">
        <v>917</v>
      </c>
      <c r="B399" t="s">
        <v>1488</v>
      </c>
      <c r="C399" t="s">
        <v>14</v>
      </c>
      <c r="D399">
        <v>40</v>
      </c>
      <c r="E399" t="s">
        <v>1604</v>
      </c>
      <c r="F399" t="s">
        <v>59</v>
      </c>
      <c r="G399">
        <v>252076.5122</v>
      </c>
      <c r="H399">
        <v>75631</v>
      </c>
      <c r="I399">
        <v>13823</v>
      </c>
      <c r="J399" t="s">
        <v>1601</v>
      </c>
      <c r="K399" t="s">
        <v>16</v>
      </c>
      <c r="L399" t="s">
        <v>24</v>
      </c>
    </row>
    <row r="400" spans="1:12" x14ac:dyDescent="0.3">
      <c r="A400" t="s">
        <v>918</v>
      </c>
      <c r="B400" t="s">
        <v>1489</v>
      </c>
      <c r="C400" t="s">
        <v>14</v>
      </c>
      <c r="D400">
        <v>43</v>
      </c>
      <c r="E400" t="s">
        <v>1604</v>
      </c>
      <c r="F400" t="s">
        <v>22</v>
      </c>
      <c r="G400">
        <v>399324</v>
      </c>
      <c r="H400">
        <v>77230</v>
      </c>
      <c r="I400">
        <v>104802</v>
      </c>
      <c r="J400" t="s">
        <v>1600</v>
      </c>
      <c r="K400" t="s">
        <v>16</v>
      </c>
      <c r="L400" t="s">
        <v>17</v>
      </c>
    </row>
    <row r="401" spans="1:12" x14ac:dyDescent="0.3">
      <c r="A401" t="s">
        <v>921</v>
      </c>
      <c r="B401" t="s">
        <v>1490</v>
      </c>
      <c r="C401" t="s">
        <v>48</v>
      </c>
      <c r="D401">
        <v>50</v>
      </c>
      <c r="E401" t="s">
        <v>1604</v>
      </c>
      <c r="F401" t="s">
        <v>22</v>
      </c>
      <c r="G401">
        <v>360643</v>
      </c>
      <c r="H401">
        <v>208355</v>
      </c>
      <c r="I401">
        <v>85285</v>
      </c>
      <c r="J401" t="s">
        <v>1599</v>
      </c>
      <c r="K401" t="s">
        <v>33</v>
      </c>
      <c r="L401" t="s">
        <v>17</v>
      </c>
    </row>
    <row r="402" spans="1:12" x14ac:dyDescent="0.3">
      <c r="A402" t="s">
        <v>923</v>
      </c>
      <c r="B402" t="s">
        <v>1491</v>
      </c>
      <c r="C402" t="s">
        <v>48</v>
      </c>
      <c r="D402">
        <v>43</v>
      </c>
      <c r="E402" t="s">
        <v>1604</v>
      </c>
      <c r="F402" t="s">
        <v>59</v>
      </c>
      <c r="G402">
        <v>421245</v>
      </c>
      <c r="H402">
        <v>211793</v>
      </c>
      <c r="I402">
        <v>109090</v>
      </c>
      <c r="J402" t="s">
        <v>1600</v>
      </c>
      <c r="K402" t="s">
        <v>23</v>
      </c>
      <c r="L402" t="s">
        <v>24</v>
      </c>
    </row>
    <row r="403" spans="1:12" x14ac:dyDescent="0.3">
      <c r="A403" t="s">
        <v>925</v>
      </c>
      <c r="B403" t="s">
        <v>1492</v>
      </c>
      <c r="C403" t="s">
        <v>14</v>
      </c>
      <c r="D403">
        <v>33</v>
      </c>
      <c r="E403" t="s">
        <v>1604</v>
      </c>
      <c r="F403" t="s">
        <v>22</v>
      </c>
      <c r="G403">
        <v>373993</v>
      </c>
      <c r="H403">
        <v>158009</v>
      </c>
      <c r="I403">
        <v>128882</v>
      </c>
      <c r="J403" t="s">
        <v>1600</v>
      </c>
      <c r="K403" t="s">
        <v>23</v>
      </c>
      <c r="L403" t="s">
        <v>17</v>
      </c>
    </row>
    <row r="404" spans="1:12" x14ac:dyDescent="0.3">
      <c r="A404" t="s">
        <v>926</v>
      </c>
      <c r="B404" t="s">
        <v>1493</v>
      </c>
      <c r="C404" t="s">
        <v>14</v>
      </c>
      <c r="D404">
        <v>58</v>
      </c>
      <c r="E404" t="s">
        <v>1603</v>
      </c>
      <c r="F404" t="s">
        <v>22</v>
      </c>
      <c r="G404">
        <v>282383</v>
      </c>
      <c r="H404">
        <v>105971</v>
      </c>
      <c r="I404">
        <v>135782</v>
      </c>
      <c r="J404" t="s">
        <v>1600</v>
      </c>
      <c r="K404" t="s">
        <v>16</v>
      </c>
      <c r="L404" t="s">
        <v>24</v>
      </c>
    </row>
    <row r="405" spans="1:12" x14ac:dyDescent="0.3">
      <c r="A405" t="s">
        <v>928</v>
      </c>
      <c r="B405" t="s">
        <v>1494</v>
      </c>
      <c r="C405" t="s">
        <v>48</v>
      </c>
      <c r="D405">
        <v>34</v>
      </c>
      <c r="E405" t="s">
        <v>1604</v>
      </c>
      <c r="F405" t="s">
        <v>22</v>
      </c>
      <c r="G405">
        <v>158930</v>
      </c>
      <c r="H405">
        <v>85027</v>
      </c>
      <c r="I405">
        <v>108391</v>
      </c>
      <c r="J405" t="s">
        <v>1600</v>
      </c>
      <c r="K405" t="s">
        <v>23</v>
      </c>
      <c r="L405" t="s">
        <v>24</v>
      </c>
    </row>
    <row r="406" spans="1:12" x14ac:dyDescent="0.3">
      <c r="A406" t="s">
        <v>929</v>
      </c>
      <c r="B406" t="s">
        <v>1495</v>
      </c>
      <c r="C406" t="s">
        <v>48</v>
      </c>
      <c r="D406">
        <v>59</v>
      </c>
      <c r="E406" t="s">
        <v>1603</v>
      </c>
      <c r="F406" t="s">
        <v>59</v>
      </c>
      <c r="G406">
        <v>258094</v>
      </c>
      <c r="H406">
        <v>285919</v>
      </c>
      <c r="I406">
        <v>85634</v>
      </c>
      <c r="J406" t="s">
        <v>1599</v>
      </c>
      <c r="K406" t="s">
        <v>16</v>
      </c>
      <c r="L406" t="s">
        <v>24</v>
      </c>
    </row>
    <row r="407" spans="1:12" x14ac:dyDescent="0.3">
      <c r="A407" t="s">
        <v>930</v>
      </c>
      <c r="B407" t="s">
        <v>1496</v>
      </c>
      <c r="C407" t="s">
        <v>21</v>
      </c>
      <c r="D407">
        <v>45</v>
      </c>
      <c r="E407" t="s">
        <v>1604</v>
      </c>
      <c r="F407" t="s">
        <v>22</v>
      </c>
      <c r="G407">
        <v>167764</v>
      </c>
      <c r="H407">
        <v>223982</v>
      </c>
      <c r="I407">
        <v>138849</v>
      </c>
      <c r="J407" t="s">
        <v>1600</v>
      </c>
      <c r="K407" t="s">
        <v>33</v>
      </c>
      <c r="L407" t="s">
        <v>24</v>
      </c>
    </row>
    <row r="408" spans="1:12" x14ac:dyDescent="0.3">
      <c r="A408" t="s">
        <v>933</v>
      </c>
      <c r="B408" t="s">
        <v>1497</v>
      </c>
      <c r="C408" t="s">
        <v>21</v>
      </c>
      <c r="D408">
        <v>47</v>
      </c>
      <c r="E408" t="s">
        <v>1604</v>
      </c>
      <c r="F408" t="s">
        <v>59</v>
      </c>
      <c r="G408">
        <v>363497</v>
      </c>
      <c r="H408">
        <v>125598.55560000001</v>
      </c>
      <c r="I408">
        <v>138066</v>
      </c>
      <c r="J408" t="s">
        <v>1600</v>
      </c>
      <c r="K408" t="s">
        <v>16</v>
      </c>
      <c r="L408" t="s">
        <v>24</v>
      </c>
    </row>
    <row r="409" spans="1:12" x14ac:dyDescent="0.3">
      <c r="A409" t="s">
        <v>936</v>
      </c>
      <c r="B409" t="s">
        <v>1498</v>
      </c>
      <c r="C409" t="s">
        <v>48</v>
      </c>
      <c r="D409">
        <v>44</v>
      </c>
      <c r="E409" t="s">
        <v>1604</v>
      </c>
      <c r="F409" t="s">
        <v>22</v>
      </c>
      <c r="G409">
        <v>72208</v>
      </c>
      <c r="H409">
        <v>143371</v>
      </c>
      <c r="I409">
        <v>73110</v>
      </c>
      <c r="J409" t="s">
        <v>1599</v>
      </c>
      <c r="K409" t="s">
        <v>33</v>
      </c>
      <c r="L409" t="s">
        <v>24</v>
      </c>
    </row>
    <row r="410" spans="1:12" x14ac:dyDescent="0.3">
      <c r="A410" t="s">
        <v>939</v>
      </c>
      <c r="B410" t="s">
        <v>1499</v>
      </c>
      <c r="C410" t="s">
        <v>21</v>
      </c>
      <c r="D410">
        <v>46</v>
      </c>
      <c r="E410" t="s">
        <v>1604</v>
      </c>
      <c r="F410" t="s">
        <v>1590</v>
      </c>
      <c r="G410">
        <v>252076.5122</v>
      </c>
      <c r="H410">
        <v>248838</v>
      </c>
      <c r="I410">
        <v>118491</v>
      </c>
      <c r="J410" t="s">
        <v>1600</v>
      </c>
      <c r="K410" t="s">
        <v>23</v>
      </c>
      <c r="L410" t="s">
        <v>24</v>
      </c>
    </row>
    <row r="411" spans="1:12" x14ac:dyDescent="0.3">
      <c r="A411" t="s">
        <v>940</v>
      </c>
      <c r="B411" t="s">
        <v>1500</v>
      </c>
      <c r="C411" t="s">
        <v>21</v>
      </c>
      <c r="D411">
        <v>30</v>
      </c>
      <c r="E411" t="s">
        <v>13</v>
      </c>
      <c r="F411" t="s">
        <v>22</v>
      </c>
      <c r="G411">
        <v>374240</v>
      </c>
      <c r="H411">
        <v>293646</v>
      </c>
      <c r="I411">
        <v>72554</v>
      </c>
      <c r="J411" t="s">
        <v>1599</v>
      </c>
      <c r="K411" t="s">
        <v>33</v>
      </c>
      <c r="L411" t="s">
        <v>24</v>
      </c>
    </row>
    <row r="412" spans="1:12" x14ac:dyDescent="0.3">
      <c r="A412" t="s">
        <v>942</v>
      </c>
      <c r="B412" t="s">
        <v>1501</v>
      </c>
      <c r="C412" t="s">
        <v>44</v>
      </c>
      <c r="D412">
        <v>49</v>
      </c>
      <c r="E412" t="s">
        <v>1604</v>
      </c>
      <c r="F412" t="s">
        <v>59</v>
      </c>
      <c r="G412">
        <v>440433</v>
      </c>
      <c r="H412">
        <v>140398.7273</v>
      </c>
      <c r="I412">
        <v>11138</v>
      </c>
      <c r="J412" t="s">
        <v>1601</v>
      </c>
      <c r="K412" t="s">
        <v>23</v>
      </c>
      <c r="L412" t="s">
        <v>24</v>
      </c>
    </row>
    <row r="413" spans="1:12" x14ac:dyDescent="0.3">
      <c r="A413" t="s">
        <v>944</v>
      </c>
      <c r="B413" t="s">
        <v>1502</v>
      </c>
      <c r="C413" t="s">
        <v>14</v>
      </c>
      <c r="D413">
        <v>44</v>
      </c>
      <c r="E413" t="s">
        <v>1604</v>
      </c>
      <c r="F413" t="s">
        <v>59</v>
      </c>
      <c r="G413">
        <v>252076.5122</v>
      </c>
      <c r="H413">
        <v>91719</v>
      </c>
      <c r="I413">
        <v>97591</v>
      </c>
      <c r="J413" t="s">
        <v>1599</v>
      </c>
      <c r="K413" t="s">
        <v>16</v>
      </c>
      <c r="L413" t="s">
        <v>24</v>
      </c>
    </row>
    <row r="414" spans="1:12" x14ac:dyDescent="0.3">
      <c r="A414" t="s">
        <v>945</v>
      </c>
      <c r="B414" t="s">
        <v>1503</v>
      </c>
      <c r="C414" t="s">
        <v>58</v>
      </c>
      <c r="D414">
        <v>27</v>
      </c>
      <c r="E414" t="s">
        <v>13</v>
      </c>
      <c r="F414" t="s">
        <v>22</v>
      </c>
      <c r="G414">
        <v>387597</v>
      </c>
      <c r="H414">
        <v>92401</v>
      </c>
      <c r="I414">
        <v>40679</v>
      </c>
      <c r="J414" t="s">
        <v>1601</v>
      </c>
      <c r="K414" t="s">
        <v>16</v>
      </c>
      <c r="L414" t="s">
        <v>24</v>
      </c>
    </row>
    <row r="415" spans="1:12" x14ac:dyDescent="0.3">
      <c r="A415" t="s">
        <v>946</v>
      </c>
      <c r="B415" t="s">
        <v>1504</v>
      </c>
      <c r="C415" t="s">
        <v>58</v>
      </c>
      <c r="D415">
        <v>28</v>
      </c>
      <c r="E415" t="s">
        <v>13</v>
      </c>
      <c r="F415" t="s">
        <v>59</v>
      </c>
      <c r="G415">
        <v>482088</v>
      </c>
      <c r="H415">
        <v>156740</v>
      </c>
      <c r="I415">
        <v>34917</v>
      </c>
      <c r="J415" t="s">
        <v>1601</v>
      </c>
      <c r="K415" t="s">
        <v>16</v>
      </c>
      <c r="L415" t="s">
        <v>17</v>
      </c>
    </row>
    <row r="416" spans="1:12" x14ac:dyDescent="0.3">
      <c r="A416" t="s">
        <v>947</v>
      </c>
      <c r="B416" t="s">
        <v>1505</v>
      </c>
      <c r="C416" t="s">
        <v>58</v>
      </c>
      <c r="D416">
        <v>53</v>
      </c>
      <c r="E416" t="s">
        <v>1603</v>
      </c>
      <c r="F416" t="s">
        <v>59</v>
      </c>
      <c r="G416">
        <v>393788</v>
      </c>
      <c r="H416">
        <v>116430</v>
      </c>
      <c r="I416">
        <v>129078</v>
      </c>
      <c r="J416" t="s">
        <v>1600</v>
      </c>
      <c r="K416" t="s">
        <v>23</v>
      </c>
      <c r="L416" t="s">
        <v>24</v>
      </c>
    </row>
    <row r="417" spans="1:12" x14ac:dyDescent="0.3">
      <c r="A417" t="s">
        <v>948</v>
      </c>
      <c r="B417" t="s">
        <v>1506</v>
      </c>
      <c r="C417" t="s">
        <v>48</v>
      </c>
      <c r="D417">
        <v>27</v>
      </c>
      <c r="E417" t="s">
        <v>13</v>
      </c>
      <c r="F417" t="s">
        <v>22</v>
      </c>
      <c r="G417">
        <v>490489</v>
      </c>
      <c r="H417">
        <v>82193</v>
      </c>
      <c r="I417">
        <v>129796</v>
      </c>
      <c r="J417" t="s">
        <v>1600</v>
      </c>
      <c r="K417" t="s">
        <v>16</v>
      </c>
      <c r="L417" t="s">
        <v>24</v>
      </c>
    </row>
    <row r="418" spans="1:12" x14ac:dyDescent="0.3">
      <c r="A418" t="s">
        <v>949</v>
      </c>
      <c r="B418" t="s">
        <v>1507</v>
      </c>
      <c r="C418" t="s">
        <v>48</v>
      </c>
      <c r="D418">
        <v>42</v>
      </c>
      <c r="E418" t="s">
        <v>1604</v>
      </c>
      <c r="F418" t="s">
        <v>1590</v>
      </c>
      <c r="G418">
        <v>457798</v>
      </c>
      <c r="H418">
        <v>108281</v>
      </c>
      <c r="I418">
        <v>44389</v>
      </c>
      <c r="J418" t="s">
        <v>1601</v>
      </c>
      <c r="K418" t="s">
        <v>33</v>
      </c>
      <c r="L418" t="s">
        <v>17</v>
      </c>
    </row>
    <row r="419" spans="1:12" x14ac:dyDescent="0.3">
      <c r="A419" t="s">
        <v>951</v>
      </c>
      <c r="B419" t="s">
        <v>1508</v>
      </c>
      <c r="C419" t="s">
        <v>21</v>
      </c>
      <c r="D419">
        <v>22</v>
      </c>
      <c r="E419" t="s">
        <v>13</v>
      </c>
      <c r="F419" t="s">
        <v>59</v>
      </c>
      <c r="G419">
        <v>335021</v>
      </c>
      <c r="H419">
        <v>189636</v>
      </c>
      <c r="I419">
        <v>78592</v>
      </c>
      <c r="J419" t="s">
        <v>1599</v>
      </c>
      <c r="K419" t="s">
        <v>23</v>
      </c>
      <c r="L419" t="s">
        <v>17</v>
      </c>
    </row>
    <row r="420" spans="1:12" x14ac:dyDescent="0.3">
      <c r="A420" t="s">
        <v>954</v>
      </c>
      <c r="B420" t="s">
        <v>1509</v>
      </c>
      <c r="C420" t="s">
        <v>21</v>
      </c>
      <c r="D420">
        <v>39.868583162217661</v>
      </c>
      <c r="E420" t="s">
        <v>1604</v>
      </c>
      <c r="F420" t="s">
        <v>59</v>
      </c>
      <c r="G420">
        <v>3120</v>
      </c>
      <c r="H420">
        <v>60865</v>
      </c>
      <c r="I420">
        <v>55781</v>
      </c>
      <c r="J420" t="s">
        <v>1599</v>
      </c>
      <c r="K420" t="s">
        <v>23</v>
      </c>
      <c r="L420" t="s">
        <v>17</v>
      </c>
    </row>
    <row r="421" spans="1:12" x14ac:dyDescent="0.3">
      <c r="A421" t="s">
        <v>956</v>
      </c>
      <c r="B421" t="s">
        <v>1510</v>
      </c>
      <c r="C421" t="s">
        <v>14</v>
      </c>
      <c r="D421">
        <v>51</v>
      </c>
      <c r="E421" t="s">
        <v>1603</v>
      </c>
      <c r="F421" t="s">
        <v>22</v>
      </c>
      <c r="G421">
        <v>270148</v>
      </c>
      <c r="H421">
        <v>147407</v>
      </c>
      <c r="I421">
        <v>86190</v>
      </c>
      <c r="J421" t="s">
        <v>1599</v>
      </c>
      <c r="K421" t="s">
        <v>16</v>
      </c>
      <c r="L421" t="s">
        <v>24</v>
      </c>
    </row>
    <row r="422" spans="1:12" x14ac:dyDescent="0.3">
      <c r="A422" t="s">
        <v>957</v>
      </c>
      <c r="B422" t="s">
        <v>1511</v>
      </c>
      <c r="C422" t="s">
        <v>58</v>
      </c>
      <c r="D422">
        <v>51</v>
      </c>
      <c r="E422" t="s">
        <v>1603</v>
      </c>
      <c r="F422" t="s">
        <v>59</v>
      </c>
      <c r="G422">
        <v>384139</v>
      </c>
      <c r="H422">
        <v>265224</v>
      </c>
      <c r="I422">
        <v>143410</v>
      </c>
      <c r="J422" t="s">
        <v>1600</v>
      </c>
      <c r="K422" t="s">
        <v>23</v>
      </c>
      <c r="L422" t="s">
        <v>17</v>
      </c>
    </row>
    <row r="423" spans="1:12" x14ac:dyDescent="0.3">
      <c r="A423" t="s">
        <v>958</v>
      </c>
      <c r="B423" t="s">
        <v>1512</v>
      </c>
      <c r="C423" t="s">
        <v>44</v>
      </c>
      <c r="D423">
        <v>51</v>
      </c>
      <c r="E423" t="s">
        <v>1603</v>
      </c>
      <c r="F423" t="s">
        <v>22</v>
      </c>
      <c r="G423">
        <v>156167</v>
      </c>
      <c r="H423">
        <v>122203</v>
      </c>
      <c r="I423">
        <v>89240</v>
      </c>
      <c r="J423" t="s">
        <v>1599</v>
      </c>
      <c r="K423" t="s">
        <v>16</v>
      </c>
      <c r="L423" t="s">
        <v>24</v>
      </c>
    </row>
    <row r="424" spans="1:12" x14ac:dyDescent="0.3">
      <c r="A424" t="s">
        <v>960</v>
      </c>
      <c r="B424" t="s">
        <v>1513</v>
      </c>
      <c r="C424" t="s">
        <v>58</v>
      </c>
      <c r="D424">
        <v>54</v>
      </c>
      <c r="E424" t="s">
        <v>1603</v>
      </c>
      <c r="F424" t="s">
        <v>59</v>
      </c>
      <c r="G424">
        <v>341982</v>
      </c>
      <c r="H424">
        <v>49399</v>
      </c>
      <c r="I424">
        <v>80710</v>
      </c>
      <c r="J424" t="s">
        <v>1599</v>
      </c>
      <c r="K424" t="s">
        <v>16</v>
      </c>
      <c r="L424" t="s">
        <v>17</v>
      </c>
    </row>
    <row r="425" spans="1:12" x14ac:dyDescent="0.3">
      <c r="A425" t="s">
        <v>963</v>
      </c>
      <c r="B425" t="s">
        <v>1514</v>
      </c>
      <c r="C425" t="s">
        <v>48</v>
      </c>
      <c r="D425">
        <v>54</v>
      </c>
      <c r="E425" t="s">
        <v>1603</v>
      </c>
      <c r="F425" t="s">
        <v>59</v>
      </c>
      <c r="G425">
        <v>145773</v>
      </c>
      <c r="H425">
        <v>222329</v>
      </c>
      <c r="I425">
        <v>64379</v>
      </c>
      <c r="J425" t="s">
        <v>1599</v>
      </c>
      <c r="K425" t="s">
        <v>16</v>
      </c>
      <c r="L425" t="s">
        <v>17</v>
      </c>
    </row>
    <row r="426" spans="1:12" x14ac:dyDescent="0.3">
      <c r="A426" t="s">
        <v>964</v>
      </c>
      <c r="B426" t="s">
        <v>1515</v>
      </c>
      <c r="C426" t="s">
        <v>58</v>
      </c>
      <c r="D426">
        <v>42</v>
      </c>
      <c r="E426" t="s">
        <v>1604</v>
      </c>
      <c r="F426" t="s">
        <v>59</v>
      </c>
      <c r="G426">
        <v>462970</v>
      </c>
      <c r="H426">
        <v>114807</v>
      </c>
      <c r="I426">
        <v>35741</v>
      </c>
      <c r="J426" t="s">
        <v>1601</v>
      </c>
      <c r="K426" t="s">
        <v>16</v>
      </c>
      <c r="L426" t="s">
        <v>17</v>
      </c>
    </row>
    <row r="427" spans="1:12" x14ac:dyDescent="0.3">
      <c r="A427" t="s">
        <v>965</v>
      </c>
      <c r="B427" t="s">
        <v>1516</v>
      </c>
      <c r="C427" t="s">
        <v>44</v>
      </c>
      <c r="D427">
        <v>30</v>
      </c>
      <c r="E427" t="s">
        <v>13</v>
      </c>
      <c r="F427" t="s">
        <v>1590</v>
      </c>
      <c r="G427">
        <v>433730</v>
      </c>
      <c r="H427">
        <v>79679</v>
      </c>
      <c r="I427">
        <v>90098</v>
      </c>
      <c r="J427" t="s">
        <v>1599</v>
      </c>
      <c r="K427" t="s">
        <v>23</v>
      </c>
      <c r="L427" t="s">
        <v>24</v>
      </c>
    </row>
    <row r="428" spans="1:12" x14ac:dyDescent="0.3">
      <c r="A428" t="s">
        <v>966</v>
      </c>
      <c r="B428" t="s">
        <v>1517</v>
      </c>
      <c r="C428" t="s">
        <v>21</v>
      </c>
      <c r="D428">
        <v>52</v>
      </c>
      <c r="E428" t="s">
        <v>1603</v>
      </c>
      <c r="F428" t="s">
        <v>22</v>
      </c>
      <c r="G428">
        <v>244150</v>
      </c>
      <c r="H428">
        <v>95455</v>
      </c>
      <c r="I428">
        <v>131429</v>
      </c>
      <c r="J428" t="s">
        <v>1600</v>
      </c>
      <c r="K428" t="s">
        <v>33</v>
      </c>
      <c r="L428" t="s">
        <v>17</v>
      </c>
    </row>
    <row r="429" spans="1:12" x14ac:dyDescent="0.3">
      <c r="A429" t="s">
        <v>967</v>
      </c>
      <c r="B429" t="s">
        <v>1518</v>
      </c>
      <c r="C429" t="s">
        <v>48</v>
      </c>
      <c r="D429">
        <v>38</v>
      </c>
      <c r="E429" t="s">
        <v>1604</v>
      </c>
      <c r="F429" t="s">
        <v>1590</v>
      </c>
      <c r="G429">
        <v>26949</v>
      </c>
      <c r="H429">
        <v>113838</v>
      </c>
      <c r="I429">
        <v>10347</v>
      </c>
      <c r="J429" t="s">
        <v>1601</v>
      </c>
      <c r="K429" t="s">
        <v>33</v>
      </c>
      <c r="L429" t="s">
        <v>24</v>
      </c>
    </row>
    <row r="430" spans="1:12" x14ac:dyDescent="0.3">
      <c r="A430" t="s">
        <v>969</v>
      </c>
      <c r="B430" t="s">
        <v>1519</v>
      </c>
      <c r="C430" t="s">
        <v>48</v>
      </c>
      <c r="D430">
        <v>53</v>
      </c>
      <c r="E430" t="s">
        <v>1603</v>
      </c>
      <c r="F430" t="s">
        <v>59</v>
      </c>
      <c r="G430">
        <v>384132</v>
      </c>
      <c r="H430">
        <v>101988</v>
      </c>
      <c r="I430">
        <v>70297</v>
      </c>
      <c r="J430" t="s">
        <v>1599</v>
      </c>
      <c r="K430" t="s">
        <v>16</v>
      </c>
      <c r="L430" t="s">
        <v>24</v>
      </c>
    </row>
    <row r="431" spans="1:12" x14ac:dyDescent="0.3">
      <c r="A431" t="s">
        <v>970</v>
      </c>
      <c r="B431" t="s">
        <v>1520</v>
      </c>
      <c r="C431" t="s">
        <v>14</v>
      </c>
      <c r="D431">
        <v>28</v>
      </c>
      <c r="E431" t="s">
        <v>13</v>
      </c>
      <c r="F431" t="s">
        <v>59</v>
      </c>
      <c r="G431">
        <v>233988</v>
      </c>
      <c r="H431">
        <v>76289</v>
      </c>
      <c r="I431">
        <v>83238</v>
      </c>
      <c r="J431" t="s">
        <v>1599</v>
      </c>
      <c r="K431" t="s">
        <v>16</v>
      </c>
      <c r="L431" t="s">
        <v>24</v>
      </c>
    </row>
    <row r="432" spans="1:12" x14ac:dyDescent="0.3">
      <c r="A432" t="s">
        <v>971</v>
      </c>
      <c r="B432" t="s">
        <v>1521</v>
      </c>
      <c r="C432" t="s">
        <v>21</v>
      </c>
      <c r="D432">
        <v>39.868583162217661</v>
      </c>
      <c r="E432" t="s">
        <v>1604</v>
      </c>
      <c r="F432" t="s">
        <v>1590</v>
      </c>
      <c r="G432">
        <v>425750</v>
      </c>
      <c r="H432">
        <v>23446</v>
      </c>
      <c r="I432">
        <v>42723</v>
      </c>
      <c r="J432" t="s">
        <v>1601</v>
      </c>
      <c r="K432" t="s">
        <v>23</v>
      </c>
      <c r="L432" t="s">
        <v>17</v>
      </c>
    </row>
    <row r="433" spans="1:12" x14ac:dyDescent="0.3">
      <c r="A433" t="s">
        <v>973</v>
      </c>
      <c r="B433" t="s">
        <v>1522</v>
      </c>
      <c r="C433" t="s">
        <v>44</v>
      </c>
      <c r="D433">
        <v>54</v>
      </c>
      <c r="E433" t="s">
        <v>1603</v>
      </c>
      <c r="F433" t="s">
        <v>22</v>
      </c>
      <c r="G433">
        <v>476633</v>
      </c>
      <c r="H433">
        <v>194437</v>
      </c>
      <c r="I433">
        <v>68861</v>
      </c>
      <c r="J433" t="s">
        <v>1599</v>
      </c>
      <c r="K433" t="s">
        <v>23</v>
      </c>
      <c r="L433" t="s">
        <v>24</v>
      </c>
    </row>
    <row r="434" spans="1:12" x14ac:dyDescent="0.3">
      <c r="A434" t="s">
        <v>975</v>
      </c>
      <c r="B434" t="s">
        <v>1523</v>
      </c>
      <c r="C434" t="s">
        <v>21</v>
      </c>
      <c r="D434">
        <v>30</v>
      </c>
      <c r="E434" t="s">
        <v>13</v>
      </c>
      <c r="F434" t="s">
        <v>59</v>
      </c>
      <c r="G434">
        <v>118089</v>
      </c>
      <c r="H434">
        <v>284184</v>
      </c>
      <c r="I434">
        <v>50039</v>
      </c>
      <c r="J434" t="s">
        <v>1599</v>
      </c>
      <c r="K434" t="s">
        <v>16</v>
      </c>
      <c r="L434" t="s">
        <v>24</v>
      </c>
    </row>
    <row r="435" spans="1:12" x14ac:dyDescent="0.3">
      <c r="A435" t="s">
        <v>976</v>
      </c>
      <c r="B435" t="s">
        <v>1524</v>
      </c>
      <c r="C435" t="s">
        <v>14</v>
      </c>
      <c r="D435">
        <v>29</v>
      </c>
      <c r="E435" t="s">
        <v>13</v>
      </c>
      <c r="F435" t="s">
        <v>59</v>
      </c>
      <c r="G435">
        <v>498913</v>
      </c>
      <c r="H435">
        <v>201506</v>
      </c>
      <c r="I435">
        <v>61392</v>
      </c>
      <c r="J435" t="s">
        <v>1599</v>
      </c>
      <c r="K435" t="s">
        <v>33</v>
      </c>
      <c r="L435" t="s">
        <v>17</v>
      </c>
    </row>
    <row r="436" spans="1:12" x14ac:dyDescent="0.3">
      <c r="A436" t="s">
        <v>978</v>
      </c>
      <c r="B436" t="s">
        <v>1525</v>
      </c>
      <c r="C436" t="s">
        <v>58</v>
      </c>
      <c r="D436">
        <v>43</v>
      </c>
      <c r="E436" t="s">
        <v>1604</v>
      </c>
      <c r="F436" t="s">
        <v>22</v>
      </c>
      <c r="G436">
        <v>233107</v>
      </c>
      <c r="H436">
        <v>227289</v>
      </c>
      <c r="I436">
        <v>11533</v>
      </c>
      <c r="J436" t="s">
        <v>1601</v>
      </c>
      <c r="K436" t="s">
        <v>16</v>
      </c>
      <c r="L436" t="s">
        <v>17</v>
      </c>
    </row>
    <row r="437" spans="1:12" x14ac:dyDescent="0.3">
      <c r="A437" t="s">
        <v>979</v>
      </c>
      <c r="B437" t="s">
        <v>1526</v>
      </c>
      <c r="C437" t="s">
        <v>14</v>
      </c>
      <c r="D437">
        <v>30</v>
      </c>
      <c r="E437" t="s">
        <v>13</v>
      </c>
      <c r="F437" t="s">
        <v>59</v>
      </c>
      <c r="G437">
        <v>188588</v>
      </c>
      <c r="H437">
        <v>276260</v>
      </c>
      <c r="I437">
        <v>12660</v>
      </c>
      <c r="J437" t="s">
        <v>1601</v>
      </c>
      <c r="K437" t="s">
        <v>23</v>
      </c>
      <c r="L437" t="s">
        <v>17</v>
      </c>
    </row>
    <row r="438" spans="1:12" x14ac:dyDescent="0.3">
      <c r="A438" t="s">
        <v>981</v>
      </c>
      <c r="B438" t="s">
        <v>1527</v>
      </c>
      <c r="C438" t="s">
        <v>14</v>
      </c>
      <c r="D438">
        <v>47</v>
      </c>
      <c r="E438" t="s">
        <v>1604</v>
      </c>
      <c r="F438" t="s">
        <v>1590</v>
      </c>
      <c r="G438">
        <v>442730</v>
      </c>
      <c r="H438">
        <v>149951</v>
      </c>
      <c r="I438">
        <v>39540</v>
      </c>
      <c r="J438" t="s">
        <v>1601</v>
      </c>
      <c r="K438" t="s">
        <v>16</v>
      </c>
      <c r="L438" t="s">
        <v>24</v>
      </c>
    </row>
    <row r="439" spans="1:12" x14ac:dyDescent="0.3">
      <c r="A439" t="s">
        <v>982</v>
      </c>
      <c r="B439" t="s">
        <v>1528</v>
      </c>
      <c r="C439" t="s">
        <v>21</v>
      </c>
      <c r="D439">
        <v>36</v>
      </c>
      <c r="E439" t="s">
        <v>1604</v>
      </c>
      <c r="F439" t="s">
        <v>22</v>
      </c>
      <c r="G439">
        <v>5206</v>
      </c>
      <c r="H439">
        <v>9335</v>
      </c>
      <c r="I439">
        <v>117748</v>
      </c>
      <c r="J439" t="s">
        <v>1600</v>
      </c>
      <c r="K439" t="s">
        <v>23</v>
      </c>
      <c r="L439" t="s">
        <v>17</v>
      </c>
    </row>
    <row r="440" spans="1:12" x14ac:dyDescent="0.3">
      <c r="A440" t="s">
        <v>984</v>
      </c>
      <c r="B440" t="s">
        <v>1529</v>
      </c>
      <c r="C440" t="s">
        <v>21</v>
      </c>
      <c r="D440">
        <v>54</v>
      </c>
      <c r="E440" t="s">
        <v>1603</v>
      </c>
      <c r="F440" t="s">
        <v>22</v>
      </c>
      <c r="G440">
        <v>467112</v>
      </c>
      <c r="H440">
        <v>123600</v>
      </c>
      <c r="I440">
        <v>10020</v>
      </c>
      <c r="J440" t="s">
        <v>1601</v>
      </c>
      <c r="K440" t="s">
        <v>23</v>
      </c>
      <c r="L440" t="s">
        <v>17</v>
      </c>
    </row>
    <row r="441" spans="1:12" x14ac:dyDescent="0.3">
      <c r="A441" t="s">
        <v>987</v>
      </c>
      <c r="B441" t="s">
        <v>1530</v>
      </c>
      <c r="C441" t="s">
        <v>21</v>
      </c>
      <c r="D441">
        <v>31</v>
      </c>
      <c r="E441" t="s">
        <v>1604</v>
      </c>
      <c r="F441" t="s">
        <v>22</v>
      </c>
      <c r="G441">
        <v>252076.5122</v>
      </c>
      <c r="H441">
        <v>262289</v>
      </c>
      <c r="I441">
        <v>77480</v>
      </c>
      <c r="J441" t="s">
        <v>1599</v>
      </c>
      <c r="K441" t="s">
        <v>33</v>
      </c>
      <c r="L441" t="s">
        <v>24</v>
      </c>
    </row>
    <row r="442" spans="1:12" x14ac:dyDescent="0.3">
      <c r="A442" t="s">
        <v>989</v>
      </c>
      <c r="B442" t="s">
        <v>1531</v>
      </c>
      <c r="C442" t="s">
        <v>14</v>
      </c>
      <c r="D442">
        <v>31</v>
      </c>
      <c r="E442" t="s">
        <v>1604</v>
      </c>
      <c r="F442" t="s">
        <v>59</v>
      </c>
      <c r="G442">
        <v>208769</v>
      </c>
      <c r="H442">
        <v>219484</v>
      </c>
      <c r="I442">
        <v>19960</v>
      </c>
      <c r="J442" t="s">
        <v>1601</v>
      </c>
      <c r="K442" t="s">
        <v>33</v>
      </c>
      <c r="L442" t="s">
        <v>17</v>
      </c>
    </row>
    <row r="443" spans="1:12" x14ac:dyDescent="0.3">
      <c r="A443" t="s">
        <v>991</v>
      </c>
      <c r="B443" t="s">
        <v>1532</v>
      </c>
      <c r="C443" t="s">
        <v>48</v>
      </c>
      <c r="D443">
        <v>42</v>
      </c>
      <c r="E443" t="s">
        <v>1604</v>
      </c>
      <c r="F443" t="s">
        <v>59</v>
      </c>
      <c r="G443">
        <v>160398</v>
      </c>
      <c r="H443">
        <v>124211.14290000001</v>
      </c>
      <c r="I443">
        <v>75311</v>
      </c>
      <c r="J443" t="s">
        <v>1599</v>
      </c>
      <c r="K443" t="s">
        <v>16</v>
      </c>
      <c r="L443" t="s">
        <v>24</v>
      </c>
    </row>
    <row r="444" spans="1:12" x14ac:dyDescent="0.3">
      <c r="A444" t="s">
        <v>993</v>
      </c>
      <c r="B444" t="s">
        <v>1533</v>
      </c>
      <c r="C444" t="s">
        <v>48</v>
      </c>
      <c r="D444">
        <v>54</v>
      </c>
      <c r="E444" t="s">
        <v>1603</v>
      </c>
      <c r="F444" t="s">
        <v>22</v>
      </c>
      <c r="G444">
        <v>353967</v>
      </c>
      <c r="H444">
        <v>197795</v>
      </c>
      <c r="I444">
        <v>36339</v>
      </c>
      <c r="J444" t="s">
        <v>1601</v>
      </c>
      <c r="K444" t="s">
        <v>16</v>
      </c>
      <c r="L444" t="s">
        <v>24</v>
      </c>
    </row>
    <row r="445" spans="1:12" x14ac:dyDescent="0.3">
      <c r="A445" t="s">
        <v>994</v>
      </c>
      <c r="B445" t="s">
        <v>1534</v>
      </c>
      <c r="C445" t="s">
        <v>14</v>
      </c>
      <c r="D445">
        <v>41</v>
      </c>
      <c r="E445" t="s">
        <v>1604</v>
      </c>
      <c r="F445" t="s">
        <v>22</v>
      </c>
      <c r="G445">
        <v>126073</v>
      </c>
      <c r="H445">
        <v>78410</v>
      </c>
      <c r="I445">
        <v>130308</v>
      </c>
      <c r="J445" t="s">
        <v>1600</v>
      </c>
      <c r="K445" t="s">
        <v>16</v>
      </c>
      <c r="L445" t="s">
        <v>24</v>
      </c>
    </row>
    <row r="446" spans="1:12" x14ac:dyDescent="0.3">
      <c r="A446" t="s">
        <v>995</v>
      </c>
      <c r="B446" t="s">
        <v>1535</v>
      </c>
      <c r="C446" t="s">
        <v>44</v>
      </c>
      <c r="D446">
        <v>40</v>
      </c>
      <c r="E446" t="s">
        <v>1604</v>
      </c>
      <c r="F446" t="s">
        <v>22</v>
      </c>
      <c r="G446">
        <v>395938</v>
      </c>
      <c r="H446">
        <v>153610.86670000001</v>
      </c>
      <c r="I446">
        <v>73401</v>
      </c>
      <c r="J446" t="s">
        <v>1599</v>
      </c>
      <c r="K446" t="s">
        <v>33</v>
      </c>
      <c r="L446" t="s">
        <v>24</v>
      </c>
    </row>
    <row r="447" spans="1:12" x14ac:dyDescent="0.3">
      <c r="A447" t="s">
        <v>998</v>
      </c>
      <c r="B447" t="s">
        <v>1536</v>
      </c>
      <c r="C447" t="s">
        <v>58</v>
      </c>
      <c r="D447">
        <v>53</v>
      </c>
      <c r="E447" t="s">
        <v>1603</v>
      </c>
      <c r="F447" t="s">
        <v>22</v>
      </c>
      <c r="G447">
        <v>272651</v>
      </c>
      <c r="H447">
        <v>230009</v>
      </c>
      <c r="I447">
        <v>133911</v>
      </c>
      <c r="J447" t="s">
        <v>1600</v>
      </c>
      <c r="K447" t="s">
        <v>16</v>
      </c>
      <c r="L447" t="s">
        <v>17</v>
      </c>
    </row>
    <row r="448" spans="1:12" x14ac:dyDescent="0.3">
      <c r="A448" t="s">
        <v>1000</v>
      </c>
      <c r="B448" t="s">
        <v>1537</v>
      </c>
      <c r="C448" t="s">
        <v>14</v>
      </c>
      <c r="D448">
        <v>43</v>
      </c>
      <c r="E448" t="s">
        <v>1604</v>
      </c>
      <c r="F448" t="s">
        <v>22</v>
      </c>
      <c r="G448">
        <v>252076.5122</v>
      </c>
      <c r="H448">
        <v>129394</v>
      </c>
      <c r="I448">
        <v>85604</v>
      </c>
      <c r="J448" t="s">
        <v>1599</v>
      </c>
      <c r="K448" t="s">
        <v>33</v>
      </c>
      <c r="L448" t="s">
        <v>24</v>
      </c>
    </row>
    <row r="449" spans="1:12" x14ac:dyDescent="0.3">
      <c r="A449" t="s">
        <v>1003</v>
      </c>
      <c r="B449" t="s">
        <v>1538</v>
      </c>
      <c r="C449" t="s">
        <v>44</v>
      </c>
      <c r="D449">
        <v>56</v>
      </c>
      <c r="E449" t="s">
        <v>1603</v>
      </c>
      <c r="F449" t="s">
        <v>59</v>
      </c>
      <c r="G449">
        <v>499118</v>
      </c>
      <c r="H449">
        <v>43309</v>
      </c>
      <c r="I449">
        <v>34957</v>
      </c>
      <c r="J449" t="s">
        <v>1601</v>
      </c>
      <c r="K449" t="s">
        <v>23</v>
      </c>
      <c r="L449" t="s">
        <v>17</v>
      </c>
    </row>
    <row r="450" spans="1:12" x14ac:dyDescent="0.3">
      <c r="A450" t="s">
        <v>1004</v>
      </c>
      <c r="B450" t="s">
        <v>1539</v>
      </c>
      <c r="C450" t="s">
        <v>48</v>
      </c>
      <c r="D450">
        <v>41</v>
      </c>
      <c r="E450" t="s">
        <v>1604</v>
      </c>
      <c r="F450" t="s">
        <v>59</v>
      </c>
      <c r="G450">
        <v>200223</v>
      </c>
      <c r="H450">
        <v>17373</v>
      </c>
      <c r="I450">
        <v>106627</v>
      </c>
      <c r="J450" t="s">
        <v>1600</v>
      </c>
      <c r="K450" t="s">
        <v>23</v>
      </c>
      <c r="L450" t="s">
        <v>17</v>
      </c>
    </row>
    <row r="451" spans="1:12" x14ac:dyDescent="0.3">
      <c r="A451" t="s">
        <v>1006</v>
      </c>
      <c r="B451" t="s">
        <v>1540</v>
      </c>
      <c r="C451" t="s">
        <v>44</v>
      </c>
      <c r="D451">
        <v>57</v>
      </c>
      <c r="E451" t="s">
        <v>1603</v>
      </c>
      <c r="F451" t="s">
        <v>1590</v>
      </c>
      <c r="G451">
        <v>106546</v>
      </c>
      <c r="H451">
        <v>48386</v>
      </c>
      <c r="I451">
        <v>19370</v>
      </c>
      <c r="J451" t="s">
        <v>1601</v>
      </c>
      <c r="K451" t="s">
        <v>33</v>
      </c>
      <c r="L451" t="s">
        <v>17</v>
      </c>
    </row>
    <row r="452" spans="1:12" x14ac:dyDescent="0.3">
      <c r="A452" t="s">
        <v>1008</v>
      </c>
      <c r="B452" t="s">
        <v>1541</v>
      </c>
      <c r="C452" t="s">
        <v>58</v>
      </c>
      <c r="D452">
        <v>32</v>
      </c>
      <c r="E452" t="s">
        <v>1604</v>
      </c>
      <c r="F452" t="s">
        <v>59</v>
      </c>
      <c r="G452">
        <v>454929</v>
      </c>
      <c r="H452">
        <v>97274</v>
      </c>
      <c r="I452">
        <v>43181</v>
      </c>
      <c r="J452" t="s">
        <v>1601</v>
      </c>
      <c r="K452" t="s">
        <v>16</v>
      </c>
      <c r="L452" t="s">
        <v>24</v>
      </c>
    </row>
    <row r="453" spans="1:12" x14ac:dyDescent="0.3">
      <c r="A453" t="s">
        <v>1010</v>
      </c>
      <c r="B453" t="s">
        <v>1542</v>
      </c>
      <c r="C453" t="s">
        <v>58</v>
      </c>
      <c r="D453">
        <v>58</v>
      </c>
      <c r="E453" t="s">
        <v>1603</v>
      </c>
      <c r="F453" t="s">
        <v>22</v>
      </c>
      <c r="G453">
        <v>395891</v>
      </c>
      <c r="H453">
        <v>70291</v>
      </c>
      <c r="I453">
        <v>84711</v>
      </c>
      <c r="J453" t="s">
        <v>1599</v>
      </c>
      <c r="K453" t="s">
        <v>23</v>
      </c>
      <c r="L453" t="s">
        <v>17</v>
      </c>
    </row>
    <row r="454" spans="1:12" x14ac:dyDescent="0.3">
      <c r="A454" t="s">
        <v>1011</v>
      </c>
      <c r="B454" t="s">
        <v>1543</v>
      </c>
      <c r="C454" t="s">
        <v>44</v>
      </c>
      <c r="D454">
        <v>21</v>
      </c>
      <c r="E454" t="s">
        <v>13</v>
      </c>
      <c r="F454" t="s">
        <v>1590</v>
      </c>
      <c r="G454">
        <v>252076.5122</v>
      </c>
      <c r="H454">
        <v>100143</v>
      </c>
      <c r="I454">
        <v>89160</v>
      </c>
      <c r="J454" t="s">
        <v>1599</v>
      </c>
      <c r="K454" t="s">
        <v>16</v>
      </c>
      <c r="L454" t="s">
        <v>24</v>
      </c>
    </row>
    <row r="455" spans="1:12" x14ac:dyDescent="0.3">
      <c r="A455" t="s">
        <v>1012</v>
      </c>
      <c r="B455" t="s">
        <v>1544</v>
      </c>
      <c r="C455" t="s">
        <v>21</v>
      </c>
      <c r="D455">
        <v>59</v>
      </c>
      <c r="E455" t="s">
        <v>1603</v>
      </c>
      <c r="F455" t="s">
        <v>59</v>
      </c>
      <c r="G455">
        <v>338713</v>
      </c>
      <c r="H455">
        <v>122238</v>
      </c>
      <c r="I455">
        <v>94579</v>
      </c>
      <c r="J455" t="s">
        <v>1599</v>
      </c>
      <c r="K455" t="s">
        <v>23</v>
      </c>
      <c r="L455" t="s">
        <v>24</v>
      </c>
    </row>
    <row r="456" spans="1:12" x14ac:dyDescent="0.3">
      <c r="A456" t="s">
        <v>1013</v>
      </c>
      <c r="B456" t="s">
        <v>1545</v>
      </c>
      <c r="C456" t="s">
        <v>14</v>
      </c>
      <c r="D456">
        <v>56</v>
      </c>
      <c r="E456" t="s">
        <v>1603</v>
      </c>
      <c r="F456" t="s">
        <v>59</v>
      </c>
      <c r="G456">
        <v>345560</v>
      </c>
      <c r="H456">
        <v>285503</v>
      </c>
      <c r="I456">
        <v>144456</v>
      </c>
      <c r="J456" t="s">
        <v>1600</v>
      </c>
      <c r="K456" t="s">
        <v>23</v>
      </c>
      <c r="L456" t="s">
        <v>17</v>
      </c>
    </row>
    <row r="457" spans="1:12" x14ac:dyDescent="0.3">
      <c r="A457" t="s">
        <v>1014</v>
      </c>
      <c r="B457" t="s">
        <v>1546</v>
      </c>
      <c r="C457" t="s">
        <v>21</v>
      </c>
      <c r="D457">
        <v>39.868583162217661</v>
      </c>
      <c r="E457" t="s">
        <v>1604</v>
      </c>
      <c r="F457" t="s">
        <v>59</v>
      </c>
      <c r="G457">
        <v>15064</v>
      </c>
      <c r="H457">
        <v>158797</v>
      </c>
      <c r="I457">
        <v>136280</v>
      </c>
      <c r="J457" t="s">
        <v>1600</v>
      </c>
      <c r="K457" t="s">
        <v>16</v>
      </c>
      <c r="L457" t="s">
        <v>17</v>
      </c>
    </row>
    <row r="458" spans="1:12" x14ac:dyDescent="0.3">
      <c r="A458" t="s">
        <v>1016</v>
      </c>
      <c r="B458" t="s">
        <v>1547</v>
      </c>
      <c r="C458" t="s">
        <v>14</v>
      </c>
      <c r="D458">
        <v>23</v>
      </c>
      <c r="E458" t="s">
        <v>13</v>
      </c>
      <c r="F458" t="s">
        <v>22</v>
      </c>
      <c r="G458">
        <v>304325</v>
      </c>
      <c r="H458">
        <v>50865</v>
      </c>
      <c r="I458">
        <v>31298</v>
      </c>
      <c r="J458" t="s">
        <v>1601</v>
      </c>
      <c r="K458" t="s">
        <v>23</v>
      </c>
      <c r="L458" t="s">
        <v>24</v>
      </c>
    </row>
    <row r="459" spans="1:12" x14ac:dyDescent="0.3">
      <c r="A459" t="s">
        <v>1017</v>
      </c>
      <c r="B459" t="s">
        <v>1548</v>
      </c>
      <c r="C459" t="s">
        <v>48</v>
      </c>
      <c r="D459">
        <v>31</v>
      </c>
      <c r="E459" t="s">
        <v>1604</v>
      </c>
      <c r="F459" t="s">
        <v>22</v>
      </c>
      <c r="G459">
        <v>290901</v>
      </c>
      <c r="H459">
        <v>109376</v>
      </c>
      <c r="I459">
        <v>17465</v>
      </c>
      <c r="J459" t="s">
        <v>1601</v>
      </c>
      <c r="K459" t="s">
        <v>33</v>
      </c>
      <c r="L459" t="s">
        <v>24</v>
      </c>
    </row>
    <row r="460" spans="1:12" x14ac:dyDescent="0.3">
      <c r="A460" t="s">
        <v>1019</v>
      </c>
      <c r="B460" t="s">
        <v>1549</v>
      </c>
      <c r="C460" t="s">
        <v>14</v>
      </c>
      <c r="D460">
        <v>28</v>
      </c>
      <c r="E460" t="s">
        <v>13</v>
      </c>
      <c r="F460" t="s">
        <v>59</v>
      </c>
      <c r="G460">
        <v>448148</v>
      </c>
      <c r="H460">
        <v>129472</v>
      </c>
      <c r="I460">
        <v>71159</v>
      </c>
      <c r="J460" t="s">
        <v>1599</v>
      </c>
      <c r="K460" t="s">
        <v>23</v>
      </c>
      <c r="L460" t="s">
        <v>17</v>
      </c>
    </row>
    <row r="461" spans="1:12" x14ac:dyDescent="0.3">
      <c r="A461" t="s">
        <v>1020</v>
      </c>
      <c r="B461" t="s">
        <v>1550</v>
      </c>
      <c r="C461" t="s">
        <v>14</v>
      </c>
      <c r="D461">
        <v>43</v>
      </c>
      <c r="E461" t="s">
        <v>1604</v>
      </c>
      <c r="F461" t="s">
        <v>1590</v>
      </c>
      <c r="G461">
        <v>133754</v>
      </c>
      <c r="H461">
        <v>14974</v>
      </c>
      <c r="I461">
        <v>61094</v>
      </c>
      <c r="J461" t="s">
        <v>1599</v>
      </c>
      <c r="K461" t="s">
        <v>16</v>
      </c>
      <c r="L461" t="s">
        <v>17</v>
      </c>
    </row>
    <row r="462" spans="1:12" x14ac:dyDescent="0.3">
      <c r="A462" t="s">
        <v>1022</v>
      </c>
      <c r="B462" t="s">
        <v>1551</v>
      </c>
      <c r="C462" t="s">
        <v>21</v>
      </c>
      <c r="D462">
        <v>39</v>
      </c>
      <c r="E462" t="s">
        <v>1604</v>
      </c>
      <c r="F462" t="s">
        <v>22</v>
      </c>
      <c r="G462">
        <v>332729</v>
      </c>
      <c r="H462">
        <v>238702</v>
      </c>
      <c r="I462">
        <v>87084</v>
      </c>
      <c r="J462" t="s">
        <v>1599</v>
      </c>
      <c r="K462" t="s">
        <v>33</v>
      </c>
      <c r="L462" t="s">
        <v>24</v>
      </c>
    </row>
    <row r="463" spans="1:12" x14ac:dyDescent="0.3">
      <c r="A463" t="s">
        <v>1024</v>
      </c>
      <c r="B463" t="s">
        <v>1552</v>
      </c>
      <c r="C463" t="s">
        <v>21</v>
      </c>
      <c r="D463">
        <v>51</v>
      </c>
      <c r="E463" t="s">
        <v>1603</v>
      </c>
      <c r="F463" t="s">
        <v>59</v>
      </c>
      <c r="G463">
        <v>10701</v>
      </c>
      <c r="H463">
        <v>112697</v>
      </c>
      <c r="I463">
        <v>50046</v>
      </c>
      <c r="J463" t="s">
        <v>1599</v>
      </c>
      <c r="K463" t="s">
        <v>23</v>
      </c>
      <c r="L463" t="s">
        <v>17</v>
      </c>
    </row>
    <row r="464" spans="1:12" x14ac:dyDescent="0.3">
      <c r="A464" t="s">
        <v>1027</v>
      </c>
      <c r="B464" t="s">
        <v>1553</v>
      </c>
      <c r="C464" t="s">
        <v>14</v>
      </c>
      <c r="D464">
        <v>33</v>
      </c>
      <c r="E464" t="s">
        <v>1604</v>
      </c>
      <c r="F464" t="s">
        <v>22</v>
      </c>
      <c r="G464">
        <v>398841</v>
      </c>
      <c r="H464">
        <v>27530</v>
      </c>
      <c r="I464">
        <v>97627</v>
      </c>
      <c r="J464" t="s">
        <v>1599</v>
      </c>
      <c r="K464" t="s">
        <v>33</v>
      </c>
      <c r="L464" t="s">
        <v>24</v>
      </c>
    </row>
    <row r="465" spans="1:12" x14ac:dyDescent="0.3">
      <c r="A465" t="s">
        <v>1029</v>
      </c>
      <c r="B465" t="s">
        <v>1554</v>
      </c>
      <c r="C465" t="s">
        <v>48</v>
      </c>
      <c r="D465">
        <v>26</v>
      </c>
      <c r="E465" t="s">
        <v>13</v>
      </c>
      <c r="F465" t="s">
        <v>59</v>
      </c>
      <c r="G465">
        <v>56857</v>
      </c>
      <c r="H465">
        <v>210581</v>
      </c>
      <c r="I465">
        <v>105256</v>
      </c>
      <c r="J465" t="s">
        <v>1600</v>
      </c>
      <c r="K465" t="s">
        <v>16</v>
      </c>
      <c r="L465" t="s">
        <v>24</v>
      </c>
    </row>
    <row r="466" spans="1:12" x14ac:dyDescent="0.3">
      <c r="A466" t="s">
        <v>1030</v>
      </c>
      <c r="B466" t="s">
        <v>1555</v>
      </c>
      <c r="C466" t="s">
        <v>14</v>
      </c>
      <c r="D466">
        <v>43</v>
      </c>
      <c r="E466" t="s">
        <v>1604</v>
      </c>
      <c r="F466" t="s">
        <v>22</v>
      </c>
      <c r="G466">
        <v>467881</v>
      </c>
      <c r="H466">
        <v>267339</v>
      </c>
      <c r="I466">
        <v>147297</v>
      </c>
      <c r="J466" t="s">
        <v>1600</v>
      </c>
      <c r="K466" t="s">
        <v>33</v>
      </c>
      <c r="L466" t="s">
        <v>24</v>
      </c>
    </row>
    <row r="467" spans="1:12" x14ac:dyDescent="0.3">
      <c r="A467" t="s">
        <v>1031</v>
      </c>
      <c r="B467" t="s">
        <v>1556</v>
      </c>
      <c r="C467" t="s">
        <v>48</v>
      </c>
      <c r="D467">
        <v>35</v>
      </c>
      <c r="E467" t="s">
        <v>1604</v>
      </c>
      <c r="F467" t="s">
        <v>59</v>
      </c>
      <c r="G467">
        <v>246314</v>
      </c>
      <c r="H467">
        <v>114799</v>
      </c>
      <c r="I467">
        <v>22592</v>
      </c>
      <c r="J467" t="s">
        <v>1601</v>
      </c>
      <c r="K467" t="s">
        <v>33</v>
      </c>
      <c r="L467" t="s">
        <v>17</v>
      </c>
    </row>
    <row r="468" spans="1:12" x14ac:dyDescent="0.3">
      <c r="A468" t="s">
        <v>1033</v>
      </c>
      <c r="B468" t="s">
        <v>1557</v>
      </c>
      <c r="C468" t="s">
        <v>48</v>
      </c>
      <c r="D468">
        <v>56</v>
      </c>
      <c r="E468" t="s">
        <v>1603</v>
      </c>
      <c r="F468" t="s">
        <v>59</v>
      </c>
      <c r="G468">
        <v>143643</v>
      </c>
      <c r="H468">
        <v>181898</v>
      </c>
      <c r="I468">
        <v>122614</v>
      </c>
      <c r="J468" t="s">
        <v>1600</v>
      </c>
      <c r="K468" t="s">
        <v>16</v>
      </c>
      <c r="L468" t="s">
        <v>24</v>
      </c>
    </row>
    <row r="469" spans="1:12" x14ac:dyDescent="0.3">
      <c r="A469" t="s">
        <v>1034</v>
      </c>
      <c r="B469" t="s">
        <v>1558</v>
      </c>
      <c r="C469" t="s">
        <v>58</v>
      </c>
      <c r="D469">
        <v>33</v>
      </c>
      <c r="E469" t="s">
        <v>1604</v>
      </c>
      <c r="F469" t="s">
        <v>22</v>
      </c>
      <c r="G469">
        <v>373048</v>
      </c>
      <c r="H469">
        <v>141907</v>
      </c>
      <c r="I469">
        <v>104175</v>
      </c>
      <c r="J469" t="s">
        <v>1600</v>
      </c>
      <c r="K469" t="s">
        <v>23</v>
      </c>
      <c r="L469" t="s">
        <v>17</v>
      </c>
    </row>
    <row r="470" spans="1:12" x14ac:dyDescent="0.3">
      <c r="A470" t="s">
        <v>1035</v>
      </c>
      <c r="B470" t="s">
        <v>1559</v>
      </c>
      <c r="C470" t="s">
        <v>44</v>
      </c>
      <c r="D470">
        <v>35</v>
      </c>
      <c r="E470" t="s">
        <v>1604</v>
      </c>
      <c r="F470" t="s">
        <v>22</v>
      </c>
      <c r="G470">
        <v>445327</v>
      </c>
      <c r="H470">
        <v>118601</v>
      </c>
      <c r="I470">
        <v>51461</v>
      </c>
      <c r="J470" t="s">
        <v>1599</v>
      </c>
      <c r="K470" t="s">
        <v>23</v>
      </c>
      <c r="L470" t="s">
        <v>17</v>
      </c>
    </row>
    <row r="471" spans="1:12" x14ac:dyDescent="0.3">
      <c r="A471" t="s">
        <v>1037</v>
      </c>
      <c r="B471" t="s">
        <v>1560</v>
      </c>
      <c r="C471" t="s">
        <v>44</v>
      </c>
      <c r="D471">
        <v>39</v>
      </c>
      <c r="E471" t="s">
        <v>1604</v>
      </c>
      <c r="F471" t="s">
        <v>59</v>
      </c>
      <c r="G471">
        <v>22891</v>
      </c>
      <c r="H471">
        <v>189334</v>
      </c>
      <c r="I471">
        <v>67945</v>
      </c>
      <c r="J471" t="s">
        <v>1599</v>
      </c>
      <c r="K471" t="s">
        <v>16</v>
      </c>
      <c r="L471" t="s">
        <v>17</v>
      </c>
    </row>
    <row r="472" spans="1:12" x14ac:dyDescent="0.3">
      <c r="A472" t="s">
        <v>1039</v>
      </c>
      <c r="B472" t="s">
        <v>1561</v>
      </c>
      <c r="C472" t="s">
        <v>58</v>
      </c>
      <c r="D472">
        <v>23</v>
      </c>
      <c r="E472" t="s">
        <v>13</v>
      </c>
      <c r="F472" t="s">
        <v>22</v>
      </c>
      <c r="G472">
        <v>182450</v>
      </c>
      <c r="H472">
        <v>1176</v>
      </c>
      <c r="I472">
        <v>125312</v>
      </c>
      <c r="J472" t="s">
        <v>1600</v>
      </c>
      <c r="K472" t="s">
        <v>16</v>
      </c>
      <c r="L472" t="s">
        <v>24</v>
      </c>
    </row>
    <row r="473" spans="1:12" x14ac:dyDescent="0.3">
      <c r="A473" t="s">
        <v>1042</v>
      </c>
      <c r="B473" t="s">
        <v>1562</v>
      </c>
      <c r="C473" t="s">
        <v>44</v>
      </c>
      <c r="D473">
        <v>55</v>
      </c>
      <c r="E473" t="s">
        <v>1603</v>
      </c>
      <c r="F473" t="s">
        <v>59</v>
      </c>
      <c r="G473">
        <v>481429</v>
      </c>
      <c r="H473">
        <v>254158</v>
      </c>
      <c r="I473">
        <v>100605</v>
      </c>
      <c r="J473" t="s">
        <v>1600</v>
      </c>
      <c r="K473" t="s">
        <v>23</v>
      </c>
      <c r="L473" t="s">
        <v>24</v>
      </c>
    </row>
    <row r="474" spans="1:12" x14ac:dyDescent="0.3">
      <c r="A474" t="s">
        <v>1044</v>
      </c>
      <c r="B474" t="s">
        <v>1563</v>
      </c>
      <c r="C474" t="s">
        <v>21</v>
      </c>
      <c r="D474">
        <v>56</v>
      </c>
      <c r="E474" t="s">
        <v>1603</v>
      </c>
      <c r="F474" t="s">
        <v>59</v>
      </c>
      <c r="G474">
        <v>90277</v>
      </c>
      <c r="H474">
        <v>138782</v>
      </c>
      <c r="I474">
        <v>60120</v>
      </c>
      <c r="J474" t="s">
        <v>1599</v>
      </c>
      <c r="K474" t="s">
        <v>23</v>
      </c>
      <c r="L474" t="s">
        <v>17</v>
      </c>
    </row>
    <row r="475" spans="1:12" x14ac:dyDescent="0.3">
      <c r="A475" t="s">
        <v>1046</v>
      </c>
      <c r="B475" t="s">
        <v>1564</v>
      </c>
      <c r="C475" t="s">
        <v>14</v>
      </c>
      <c r="D475">
        <v>38</v>
      </c>
      <c r="E475" t="s">
        <v>1604</v>
      </c>
      <c r="F475" t="s">
        <v>22</v>
      </c>
      <c r="G475">
        <v>22088</v>
      </c>
      <c r="H475">
        <v>272924</v>
      </c>
      <c r="I475">
        <v>52782</v>
      </c>
      <c r="J475" t="s">
        <v>1599</v>
      </c>
      <c r="K475" t="s">
        <v>16</v>
      </c>
      <c r="L475" t="s">
        <v>24</v>
      </c>
    </row>
    <row r="476" spans="1:12" x14ac:dyDescent="0.3">
      <c r="A476" t="s">
        <v>1047</v>
      </c>
      <c r="B476" t="s">
        <v>1565</v>
      </c>
      <c r="C476" t="s">
        <v>44</v>
      </c>
      <c r="D476">
        <v>35</v>
      </c>
      <c r="E476" t="s">
        <v>1604</v>
      </c>
      <c r="F476" t="s">
        <v>59</v>
      </c>
      <c r="G476">
        <v>352953</v>
      </c>
      <c r="H476">
        <v>25026</v>
      </c>
      <c r="I476">
        <v>93067</v>
      </c>
      <c r="J476" t="s">
        <v>1599</v>
      </c>
      <c r="K476" t="s">
        <v>23</v>
      </c>
      <c r="L476" t="s">
        <v>17</v>
      </c>
    </row>
    <row r="477" spans="1:12" x14ac:dyDescent="0.3">
      <c r="A477" t="s">
        <v>1049</v>
      </c>
      <c r="B477" t="s">
        <v>1566</v>
      </c>
      <c r="C477" t="s">
        <v>58</v>
      </c>
      <c r="D477">
        <v>56</v>
      </c>
      <c r="E477" t="s">
        <v>1603</v>
      </c>
      <c r="F477" t="s">
        <v>22</v>
      </c>
      <c r="G477">
        <v>443325</v>
      </c>
      <c r="H477">
        <v>25262</v>
      </c>
      <c r="I477">
        <v>125150</v>
      </c>
      <c r="J477" t="s">
        <v>1600</v>
      </c>
      <c r="K477" t="s">
        <v>23</v>
      </c>
      <c r="L477" t="s">
        <v>17</v>
      </c>
    </row>
    <row r="478" spans="1:12" x14ac:dyDescent="0.3">
      <c r="A478" t="s">
        <v>1051</v>
      </c>
      <c r="B478" t="s">
        <v>1567</v>
      </c>
      <c r="C478" t="s">
        <v>21</v>
      </c>
      <c r="D478">
        <v>39</v>
      </c>
      <c r="E478" t="s">
        <v>1604</v>
      </c>
      <c r="F478" t="s">
        <v>59</v>
      </c>
      <c r="G478">
        <v>77547</v>
      </c>
      <c r="H478">
        <v>31211</v>
      </c>
      <c r="I478">
        <v>76434</v>
      </c>
      <c r="J478" t="s">
        <v>1599</v>
      </c>
      <c r="K478" t="s">
        <v>16</v>
      </c>
      <c r="L478" t="s">
        <v>24</v>
      </c>
    </row>
    <row r="479" spans="1:12" x14ac:dyDescent="0.3">
      <c r="A479" t="s">
        <v>1054</v>
      </c>
      <c r="B479" t="s">
        <v>1568</v>
      </c>
      <c r="C479" t="s">
        <v>21</v>
      </c>
      <c r="D479">
        <v>51</v>
      </c>
      <c r="E479" t="s">
        <v>1603</v>
      </c>
      <c r="F479" t="s">
        <v>22</v>
      </c>
      <c r="G479">
        <v>15848</v>
      </c>
      <c r="H479">
        <v>287227</v>
      </c>
      <c r="I479">
        <v>60185</v>
      </c>
      <c r="J479" t="s">
        <v>1599</v>
      </c>
      <c r="K479" t="s">
        <v>33</v>
      </c>
      <c r="L479" t="s">
        <v>17</v>
      </c>
    </row>
    <row r="480" spans="1:12" x14ac:dyDescent="0.3">
      <c r="A480" t="s">
        <v>1056</v>
      </c>
      <c r="B480" t="s">
        <v>1569</v>
      </c>
      <c r="C480" t="s">
        <v>44</v>
      </c>
      <c r="D480">
        <v>55</v>
      </c>
      <c r="E480" t="s">
        <v>1603</v>
      </c>
      <c r="F480" t="s">
        <v>22</v>
      </c>
      <c r="G480">
        <v>348155</v>
      </c>
      <c r="H480">
        <v>147091.55559999999</v>
      </c>
      <c r="I480">
        <v>131143</v>
      </c>
      <c r="J480" t="s">
        <v>1600</v>
      </c>
      <c r="K480" t="s">
        <v>16</v>
      </c>
      <c r="L480" t="s">
        <v>17</v>
      </c>
    </row>
    <row r="481" spans="1:12" x14ac:dyDescent="0.3">
      <c r="A481" t="s">
        <v>1058</v>
      </c>
      <c r="B481" t="s">
        <v>1570</v>
      </c>
      <c r="C481" t="s">
        <v>58</v>
      </c>
      <c r="D481">
        <v>40</v>
      </c>
      <c r="E481" t="s">
        <v>1604</v>
      </c>
      <c r="F481" t="s">
        <v>22</v>
      </c>
      <c r="G481">
        <v>175382</v>
      </c>
      <c r="H481">
        <v>13905</v>
      </c>
      <c r="I481">
        <v>142445</v>
      </c>
      <c r="J481" t="s">
        <v>1600</v>
      </c>
      <c r="K481" t="s">
        <v>16</v>
      </c>
      <c r="L481" t="s">
        <v>24</v>
      </c>
    </row>
    <row r="482" spans="1:12" x14ac:dyDescent="0.3">
      <c r="A482" t="s">
        <v>1061</v>
      </c>
      <c r="B482" t="s">
        <v>1571</v>
      </c>
      <c r="C482" t="s">
        <v>21</v>
      </c>
      <c r="D482">
        <v>49</v>
      </c>
      <c r="E482" t="s">
        <v>1604</v>
      </c>
      <c r="F482" t="s">
        <v>22</v>
      </c>
      <c r="G482">
        <v>50264</v>
      </c>
      <c r="H482">
        <v>205756</v>
      </c>
      <c r="I482">
        <v>13873</v>
      </c>
      <c r="J482" t="s">
        <v>1601</v>
      </c>
      <c r="K482" t="s">
        <v>33</v>
      </c>
      <c r="L482" t="s">
        <v>17</v>
      </c>
    </row>
    <row r="483" spans="1:12" x14ac:dyDescent="0.3">
      <c r="A483" t="s">
        <v>1063</v>
      </c>
      <c r="B483" t="s">
        <v>1572</v>
      </c>
      <c r="C483" t="s">
        <v>44</v>
      </c>
      <c r="D483">
        <v>37</v>
      </c>
      <c r="E483" t="s">
        <v>1604</v>
      </c>
      <c r="F483" t="s">
        <v>1590</v>
      </c>
      <c r="G483">
        <v>327679</v>
      </c>
      <c r="H483">
        <v>65689</v>
      </c>
      <c r="I483">
        <v>128144</v>
      </c>
      <c r="J483" t="s">
        <v>1600</v>
      </c>
      <c r="K483" t="s">
        <v>16</v>
      </c>
      <c r="L483" t="s">
        <v>24</v>
      </c>
    </row>
    <row r="484" spans="1:12" x14ac:dyDescent="0.3">
      <c r="A484" t="s">
        <v>1064</v>
      </c>
      <c r="B484" t="s">
        <v>1573</v>
      </c>
      <c r="C484" t="s">
        <v>44</v>
      </c>
      <c r="D484">
        <v>50</v>
      </c>
      <c r="E484" t="s">
        <v>1604</v>
      </c>
      <c r="F484" t="s">
        <v>22</v>
      </c>
      <c r="G484">
        <v>252076.5122</v>
      </c>
      <c r="H484">
        <v>215259</v>
      </c>
      <c r="I484">
        <v>138761</v>
      </c>
      <c r="J484" t="s">
        <v>1600</v>
      </c>
      <c r="K484" t="s">
        <v>23</v>
      </c>
      <c r="L484" t="s">
        <v>17</v>
      </c>
    </row>
    <row r="485" spans="1:12" x14ac:dyDescent="0.3">
      <c r="A485" t="s">
        <v>1065</v>
      </c>
      <c r="B485" t="s">
        <v>1574</v>
      </c>
      <c r="C485" t="s">
        <v>14</v>
      </c>
      <c r="D485">
        <v>28</v>
      </c>
      <c r="E485" t="s">
        <v>13</v>
      </c>
      <c r="F485" t="s">
        <v>59</v>
      </c>
      <c r="G485">
        <v>128881</v>
      </c>
      <c r="H485">
        <v>16614</v>
      </c>
      <c r="I485">
        <v>45745</v>
      </c>
      <c r="J485" t="s">
        <v>1601</v>
      </c>
      <c r="K485" t="s">
        <v>16</v>
      </c>
      <c r="L485" t="s">
        <v>24</v>
      </c>
    </row>
    <row r="486" spans="1:12" x14ac:dyDescent="0.3">
      <c r="A486" t="s">
        <v>1066</v>
      </c>
      <c r="B486" t="s">
        <v>1575</v>
      </c>
      <c r="C486" t="s">
        <v>48</v>
      </c>
      <c r="D486">
        <v>46</v>
      </c>
      <c r="E486" t="s">
        <v>1604</v>
      </c>
      <c r="F486" t="s">
        <v>59</v>
      </c>
      <c r="G486">
        <v>211351</v>
      </c>
      <c r="H486">
        <v>164299</v>
      </c>
      <c r="I486">
        <v>110646</v>
      </c>
      <c r="J486" t="s">
        <v>1600</v>
      </c>
      <c r="K486" t="s">
        <v>23</v>
      </c>
      <c r="L486" t="s">
        <v>17</v>
      </c>
    </row>
    <row r="487" spans="1:12" x14ac:dyDescent="0.3">
      <c r="A487" t="s">
        <v>1067</v>
      </c>
      <c r="B487" t="s">
        <v>1576</v>
      </c>
      <c r="C487" t="s">
        <v>44</v>
      </c>
      <c r="D487">
        <v>45</v>
      </c>
      <c r="E487" t="s">
        <v>1604</v>
      </c>
      <c r="F487" t="s">
        <v>59</v>
      </c>
      <c r="G487">
        <v>16072</v>
      </c>
      <c r="H487">
        <v>143767</v>
      </c>
      <c r="I487">
        <v>50473</v>
      </c>
      <c r="J487" t="s">
        <v>1599</v>
      </c>
      <c r="K487" t="s">
        <v>23</v>
      </c>
      <c r="L487" t="s">
        <v>24</v>
      </c>
    </row>
    <row r="488" spans="1:12" x14ac:dyDescent="0.3">
      <c r="A488" t="s">
        <v>1068</v>
      </c>
      <c r="B488" t="s">
        <v>1577</v>
      </c>
      <c r="C488" t="s">
        <v>44</v>
      </c>
      <c r="D488">
        <v>55</v>
      </c>
      <c r="E488" t="s">
        <v>1603</v>
      </c>
      <c r="F488" t="s">
        <v>22</v>
      </c>
      <c r="G488">
        <v>252076.5122</v>
      </c>
      <c r="H488">
        <v>254674</v>
      </c>
      <c r="I488">
        <v>122760</v>
      </c>
      <c r="J488" t="s">
        <v>1600</v>
      </c>
      <c r="K488" t="s">
        <v>16</v>
      </c>
      <c r="L488" t="s">
        <v>17</v>
      </c>
    </row>
    <row r="489" spans="1:12" x14ac:dyDescent="0.3">
      <c r="A489" t="s">
        <v>1070</v>
      </c>
      <c r="B489" t="s">
        <v>1578</v>
      </c>
      <c r="C489" t="s">
        <v>44</v>
      </c>
      <c r="D489">
        <v>23</v>
      </c>
      <c r="E489" t="s">
        <v>13</v>
      </c>
      <c r="F489" t="s">
        <v>59</v>
      </c>
      <c r="G489">
        <v>40577</v>
      </c>
      <c r="H489">
        <v>132237</v>
      </c>
      <c r="I489">
        <v>106196</v>
      </c>
      <c r="J489" t="s">
        <v>1600</v>
      </c>
      <c r="K489" t="s">
        <v>33</v>
      </c>
      <c r="L489" t="s">
        <v>24</v>
      </c>
    </row>
    <row r="490" spans="1:12" x14ac:dyDescent="0.3">
      <c r="A490" t="s">
        <v>1071</v>
      </c>
      <c r="B490" t="s">
        <v>1579</v>
      </c>
      <c r="C490" t="s">
        <v>44</v>
      </c>
      <c r="D490">
        <v>30</v>
      </c>
      <c r="E490" t="s">
        <v>13</v>
      </c>
      <c r="F490" t="s">
        <v>22</v>
      </c>
      <c r="G490">
        <v>9829</v>
      </c>
      <c r="H490">
        <v>230757</v>
      </c>
      <c r="I490">
        <v>50052</v>
      </c>
      <c r="J490" t="s">
        <v>1599</v>
      </c>
      <c r="K490" t="s">
        <v>16</v>
      </c>
      <c r="L490" t="s">
        <v>24</v>
      </c>
    </row>
    <row r="491" spans="1:12" x14ac:dyDescent="0.3">
      <c r="A491" t="s">
        <v>1072</v>
      </c>
      <c r="B491" t="s">
        <v>1580</v>
      </c>
      <c r="C491" t="s">
        <v>14</v>
      </c>
      <c r="D491">
        <v>24</v>
      </c>
      <c r="E491" t="s">
        <v>13</v>
      </c>
      <c r="F491" t="s">
        <v>1590</v>
      </c>
      <c r="G491">
        <v>162800</v>
      </c>
      <c r="H491">
        <v>272010</v>
      </c>
      <c r="I491">
        <v>110585</v>
      </c>
      <c r="J491" t="s">
        <v>1600</v>
      </c>
      <c r="K491" t="s">
        <v>16</v>
      </c>
      <c r="L491" t="s">
        <v>24</v>
      </c>
    </row>
    <row r="492" spans="1:12" x14ac:dyDescent="0.3">
      <c r="A492" t="s">
        <v>1073</v>
      </c>
      <c r="B492" t="s">
        <v>1581</v>
      </c>
      <c r="C492" t="s">
        <v>44</v>
      </c>
      <c r="D492">
        <v>24</v>
      </c>
      <c r="E492" t="s">
        <v>13</v>
      </c>
      <c r="F492" t="s">
        <v>59</v>
      </c>
      <c r="G492">
        <v>313926</v>
      </c>
      <c r="H492">
        <v>166897</v>
      </c>
      <c r="I492">
        <v>41928</v>
      </c>
      <c r="J492" t="s">
        <v>1601</v>
      </c>
      <c r="K492" t="s">
        <v>33</v>
      </c>
      <c r="L492" t="s">
        <v>17</v>
      </c>
    </row>
    <row r="493" spans="1:12" x14ac:dyDescent="0.3">
      <c r="A493" t="s">
        <v>1074</v>
      </c>
      <c r="B493" t="s">
        <v>1582</v>
      </c>
      <c r="C493" t="s">
        <v>58</v>
      </c>
      <c r="D493">
        <v>42</v>
      </c>
      <c r="E493" t="s">
        <v>1604</v>
      </c>
      <c r="F493" t="s">
        <v>22</v>
      </c>
      <c r="G493">
        <v>252076.5122</v>
      </c>
      <c r="H493">
        <v>277765</v>
      </c>
      <c r="I493">
        <v>84094</v>
      </c>
      <c r="J493" t="s">
        <v>1599</v>
      </c>
      <c r="K493" t="s">
        <v>16</v>
      </c>
      <c r="L493" t="s">
        <v>24</v>
      </c>
    </row>
    <row r="494" spans="1:12" x14ac:dyDescent="0.3">
      <c r="A494" t="s">
        <v>1075</v>
      </c>
      <c r="B494" t="s">
        <v>1583</v>
      </c>
      <c r="C494" t="s">
        <v>14</v>
      </c>
      <c r="D494">
        <v>57</v>
      </c>
      <c r="E494" t="s">
        <v>1603</v>
      </c>
      <c r="F494" t="s">
        <v>1590</v>
      </c>
      <c r="G494">
        <v>294041</v>
      </c>
      <c r="H494">
        <v>43402</v>
      </c>
      <c r="I494">
        <v>83863</v>
      </c>
      <c r="J494" t="s">
        <v>1599</v>
      </c>
      <c r="K494" t="s">
        <v>23</v>
      </c>
      <c r="L494" t="s">
        <v>17</v>
      </c>
    </row>
    <row r="495" spans="1:12" x14ac:dyDescent="0.3">
      <c r="A495" t="s">
        <v>1077</v>
      </c>
      <c r="B495" t="s">
        <v>1584</v>
      </c>
      <c r="C495" t="s">
        <v>44</v>
      </c>
      <c r="D495">
        <v>39.868583162217661</v>
      </c>
      <c r="E495" t="s">
        <v>1604</v>
      </c>
      <c r="F495" t="s">
        <v>59</v>
      </c>
      <c r="G495">
        <v>221227</v>
      </c>
      <c r="H495">
        <v>247153</v>
      </c>
      <c r="I495">
        <v>25622</v>
      </c>
      <c r="J495" t="s">
        <v>1601</v>
      </c>
      <c r="K495" t="s">
        <v>16</v>
      </c>
      <c r="L495" t="s">
        <v>17</v>
      </c>
    </row>
    <row r="496" spans="1:12" x14ac:dyDescent="0.3">
      <c r="A496" t="s">
        <v>1078</v>
      </c>
      <c r="B496" t="s">
        <v>1585</v>
      </c>
      <c r="C496" t="s">
        <v>14</v>
      </c>
      <c r="D496">
        <v>52</v>
      </c>
      <c r="E496" t="s">
        <v>1603</v>
      </c>
      <c r="F496" t="s">
        <v>22</v>
      </c>
      <c r="G496">
        <v>424158</v>
      </c>
      <c r="H496">
        <v>98478</v>
      </c>
      <c r="I496">
        <v>43844</v>
      </c>
      <c r="J496" t="s">
        <v>1601</v>
      </c>
      <c r="K496" t="s">
        <v>33</v>
      </c>
      <c r="L496" t="s">
        <v>17</v>
      </c>
    </row>
    <row r="497" spans="1:12" x14ac:dyDescent="0.3">
      <c r="A497" t="s">
        <v>1079</v>
      </c>
      <c r="B497" t="s">
        <v>1586</v>
      </c>
      <c r="C497" t="s">
        <v>21</v>
      </c>
      <c r="D497">
        <v>40</v>
      </c>
      <c r="E497" t="s">
        <v>1604</v>
      </c>
      <c r="F497" t="s">
        <v>22</v>
      </c>
      <c r="G497">
        <v>298743</v>
      </c>
      <c r="H497">
        <v>223734</v>
      </c>
      <c r="I497">
        <v>61461</v>
      </c>
      <c r="J497" t="s">
        <v>1599</v>
      </c>
      <c r="K497" t="s">
        <v>33</v>
      </c>
      <c r="L497" t="s">
        <v>17</v>
      </c>
    </row>
    <row r="498" spans="1:12" x14ac:dyDescent="0.3">
      <c r="A498" t="s">
        <v>1082</v>
      </c>
      <c r="B498" t="s">
        <v>1523</v>
      </c>
      <c r="C498" t="s">
        <v>48</v>
      </c>
      <c r="D498">
        <v>50</v>
      </c>
      <c r="E498" t="s">
        <v>1604</v>
      </c>
      <c r="F498" t="s">
        <v>59</v>
      </c>
      <c r="G498">
        <v>296051</v>
      </c>
      <c r="H498">
        <v>10317</v>
      </c>
      <c r="I498">
        <v>147644</v>
      </c>
      <c r="J498" t="s">
        <v>1600</v>
      </c>
      <c r="K498" t="s">
        <v>23</v>
      </c>
      <c r="L498" t="s">
        <v>17</v>
      </c>
    </row>
    <row r="499" spans="1:12" x14ac:dyDescent="0.3">
      <c r="A499" t="s">
        <v>1083</v>
      </c>
      <c r="B499" t="s">
        <v>1587</v>
      </c>
      <c r="C499" t="s">
        <v>21</v>
      </c>
      <c r="D499">
        <v>41</v>
      </c>
      <c r="E499" t="s">
        <v>1604</v>
      </c>
      <c r="F499" t="s">
        <v>22</v>
      </c>
      <c r="G499">
        <v>489565</v>
      </c>
      <c r="H499">
        <v>234375</v>
      </c>
      <c r="I499">
        <v>119060</v>
      </c>
      <c r="J499" t="s">
        <v>1600</v>
      </c>
      <c r="K499" t="s">
        <v>33</v>
      </c>
      <c r="L499" t="s">
        <v>24</v>
      </c>
    </row>
    <row r="500" spans="1:12" x14ac:dyDescent="0.3">
      <c r="A500" t="s">
        <v>1085</v>
      </c>
      <c r="B500" t="s">
        <v>1588</v>
      </c>
      <c r="C500" t="s">
        <v>14</v>
      </c>
      <c r="D500">
        <v>21</v>
      </c>
      <c r="E500" t="s">
        <v>13</v>
      </c>
      <c r="F500" t="s">
        <v>59</v>
      </c>
      <c r="G500">
        <v>76979</v>
      </c>
      <c r="H500">
        <v>9941</v>
      </c>
      <c r="I500">
        <v>110198</v>
      </c>
      <c r="J500" t="s">
        <v>1600</v>
      </c>
      <c r="K500" t="s">
        <v>33</v>
      </c>
      <c r="L500" t="s">
        <v>17</v>
      </c>
    </row>
    <row r="501" spans="1:12" x14ac:dyDescent="0.3">
      <c r="A501" t="s">
        <v>1087</v>
      </c>
      <c r="B501" t="s">
        <v>1589</v>
      </c>
      <c r="C501" t="s">
        <v>48</v>
      </c>
      <c r="D501">
        <v>39.868583162217661</v>
      </c>
      <c r="E501" t="s">
        <v>1604</v>
      </c>
      <c r="F501" t="s">
        <v>22</v>
      </c>
      <c r="G501">
        <v>158248</v>
      </c>
      <c r="H501">
        <v>128450</v>
      </c>
      <c r="I501">
        <v>131864</v>
      </c>
      <c r="J501" t="s">
        <v>1600</v>
      </c>
      <c r="K501" t="s">
        <v>23</v>
      </c>
      <c r="L50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A0E2-7E63-449E-99C4-C55E8DD2AE92}">
  <dimension ref="A1:H12"/>
  <sheetViews>
    <sheetView topLeftCell="A4" workbookViewId="0">
      <selection activeCell="G12" sqref="G12"/>
    </sheetView>
  </sheetViews>
  <sheetFormatPr defaultRowHeight="14.4" x14ac:dyDescent="0.3"/>
  <cols>
    <col min="1" max="1" width="12.5546875" bestFit="1" customWidth="1"/>
    <col min="2" max="2" width="21.77734375" bestFit="1" customWidth="1"/>
    <col min="4" max="4" width="12.5546875" bestFit="1" customWidth="1"/>
    <col min="5" max="5" width="21.77734375" bestFit="1" customWidth="1"/>
    <col min="6" max="6" width="10.88671875" bestFit="1" customWidth="1"/>
    <col min="7" max="7" width="8.109375" bestFit="1" customWidth="1"/>
    <col min="8" max="8" width="19.109375" bestFit="1" customWidth="1"/>
    <col min="9" max="9" width="6.109375" bestFit="1" customWidth="1"/>
    <col min="10" max="10" width="10.77734375" bestFit="1" customWidth="1"/>
  </cols>
  <sheetData>
    <row r="1" spans="1:8" x14ac:dyDescent="0.3">
      <c r="A1" s="6" t="s">
        <v>1591</v>
      </c>
      <c r="B1" t="s">
        <v>1594</v>
      </c>
      <c r="D1" s="6" t="s">
        <v>1591</v>
      </c>
      <c r="E1" t="s">
        <v>1595</v>
      </c>
      <c r="G1" s="6" t="s">
        <v>1591</v>
      </c>
      <c r="H1" t="s">
        <v>1596</v>
      </c>
    </row>
    <row r="2" spans="1:8" x14ac:dyDescent="0.3">
      <c r="A2" s="7" t="s">
        <v>48</v>
      </c>
      <c r="B2" s="8">
        <v>21405246.048780486</v>
      </c>
      <c r="D2" s="7" t="s">
        <v>23</v>
      </c>
      <c r="E2">
        <v>187</v>
      </c>
      <c r="G2" s="7" t="s">
        <v>22</v>
      </c>
      <c r="H2" s="8">
        <v>32622390.058354221</v>
      </c>
    </row>
    <row r="3" spans="1:8" x14ac:dyDescent="0.3">
      <c r="A3" s="7" t="s">
        <v>44</v>
      </c>
      <c r="B3" s="8">
        <v>28511688.682926826</v>
      </c>
      <c r="D3" s="7" t="s">
        <v>33</v>
      </c>
      <c r="E3">
        <v>138</v>
      </c>
      <c r="G3" s="7" t="s">
        <v>59</v>
      </c>
      <c r="H3" s="8">
        <v>29979402.533605285</v>
      </c>
    </row>
    <row r="4" spans="1:8" x14ac:dyDescent="0.3">
      <c r="A4" s="7" t="s">
        <v>58</v>
      </c>
      <c r="B4" s="8">
        <v>19965993.609756093</v>
      </c>
      <c r="D4" s="7" t="s">
        <v>16</v>
      </c>
      <c r="E4">
        <v>175</v>
      </c>
      <c r="G4" s="7" t="s">
        <v>1590</v>
      </c>
      <c r="H4" s="8">
        <v>9136471.125</v>
      </c>
    </row>
    <row r="5" spans="1:8" x14ac:dyDescent="0.3">
      <c r="A5" s="7" t="s">
        <v>21</v>
      </c>
      <c r="B5" s="8">
        <v>27228235.097560972</v>
      </c>
      <c r="D5" s="7" t="s">
        <v>1592</v>
      </c>
      <c r="E5">
        <v>500</v>
      </c>
      <c r="G5" s="7" t="s">
        <v>1592</v>
      </c>
      <c r="H5" s="8">
        <v>71738263.716959506</v>
      </c>
    </row>
    <row r="6" spans="1:8" x14ac:dyDescent="0.3">
      <c r="A6" s="7" t="s">
        <v>14</v>
      </c>
      <c r="B6" s="8">
        <v>28927092.658536583</v>
      </c>
    </row>
    <row r="7" spans="1:8" x14ac:dyDescent="0.3">
      <c r="A7" s="7" t="s">
        <v>1592</v>
      </c>
      <c r="B7" s="8">
        <v>126038256.09756096</v>
      </c>
    </row>
    <row r="8" spans="1:8" x14ac:dyDescent="0.3">
      <c r="D8" s="6" t="s">
        <v>1591</v>
      </c>
      <c r="E8" t="s">
        <v>1597</v>
      </c>
    </row>
    <row r="9" spans="1:8" x14ac:dyDescent="0.3">
      <c r="D9" s="7" t="s">
        <v>23</v>
      </c>
      <c r="E9" s="8">
        <v>15539184</v>
      </c>
    </row>
    <row r="10" spans="1:8" x14ac:dyDescent="0.3">
      <c r="D10" s="7" t="s">
        <v>33</v>
      </c>
      <c r="E10" s="8">
        <v>10669174</v>
      </c>
    </row>
    <row r="11" spans="1:8" x14ac:dyDescent="0.3">
      <c r="D11" s="7" t="s">
        <v>16</v>
      </c>
      <c r="E11" s="8">
        <v>14684772</v>
      </c>
    </row>
    <row r="12" spans="1:8" x14ac:dyDescent="0.3">
      <c r="D12" s="7" t="s">
        <v>1592</v>
      </c>
      <c r="E12" s="8">
        <v>40893130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B03FF-B43F-4764-8862-C2966D17A2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 Customer Financial Analysi</vt:lpstr>
      <vt:lpstr>Process</vt:lpstr>
      <vt:lpstr>Cleaned</vt:lpstr>
      <vt:lpstr>Transformation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Subashbalan</dc:creator>
  <cp:lastModifiedBy>Maheswari S</cp:lastModifiedBy>
  <dcterms:created xsi:type="dcterms:W3CDTF">2026-05-20T13:09:00Z</dcterms:created>
  <dcterms:modified xsi:type="dcterms:W3CDTF">2026-05-21T12:09:30Z</dcterms:modified>
</cp:coreProperties>
</file>